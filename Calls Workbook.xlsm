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4319115c7a71103/Desktop/"/>
    </mc:Choice>
  </mc:AlternateContent>
  <xr:revisionPtr revIDLastSave="15" documentId="8_{7C5340AF-2E5B-4D94-9750-E5C27A827BAD}" xr6:coauthVersionLast="47" xr6:coauthVersionMax="47" xr10:uidLastSave="{6E84958D-B27A-401A-8E61-BA575148BBF9}"/>
  <bookViews>
    <workbookView xWindow="-12998" yWindow="8" windowWidth="13096" windowHeight="10395" xr2:uid="{F2B5D1CC-DF8C-43F7-BDC9-65FED6F1A1A2}"/>
  </bookViews>
  <sheets>
    <sheet name="Start" sheetId="8" r:id="rId1"/>
    <sheet name="Data" sheetId="1" r:id="rId2"/>
    <sheet name="Calls_by_County" sheetId="4" r:id="rId3"/>
    <sheet name="Calls_by_Service" sheetId="5" r:id="rId4"/>
    <sheet name="Calls by Month" sheetId="7" r:id="rId5"/>
    <sheet name="Formula calls by month" sheetId="10" r:id="rId6"/>
    <sheet name="Dashboard" sheetId="6" r:id="rId7"/>
  </sheets>
  <definedNames>
    <definedName name="_xlchart.v1.0" hidden="1">'Formula calls by month'!$A$2:$A$13</definedName>
    <definedName name="_xlchart.v1.1" hidden="1">'Formula calls by month'!$B$2:$B$13</definedName>
    <definedName name="_xlchart.v5.2" hidden="1">Calls_by_County!$A$1:$B$1</definedName>
    <definedName name="_xlchart.v5.3" hidden="1">Calls_by_County!$A$2:$B$68</definedName>
    <definedName name="_xlchart.v5.4" hidden="1">Calls_by_County!$C$1</definedName>
    <definedName name="_xlchart.v5.5" hidden="1">Calls_by_County!$C$2:$C$68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7" l="1"/>
  <c r="C6" i="7"/>
  <c r="D5" i="7"/>
  <c r="C5" i="7"/>
  <c r="D4" i="7"/>
  <c r="C4" i="7"/>
  <c r="D3" i="7"/>
  <c r="C3" i="7"/>
  <c r="D2" i="7" l="1"/>
  <c r="C2" i="7"/>
  <c r="E10" i="10" l="1"/>
  <c r="E5" i="10"/>
  <c r="E12" i="10"/>
  <c r="E3" i="10"/>
  <c r="E9" i="10"/>
  <c r="E8" i="10"/>
  <c r="E4" i="10"/>
  <c r="E11" i="10"/>
  <c r="E6" i="10"/>
  <c r="E7" i="10"/>
  <c r="E2" i="10"/>
  <c r="B8" i="10"/>
  <c r="B2" i="10"/>
  <c r="B6" i="10"/>
  <c r="B13" i="10"/>
  <c r="B5" i="10"/>
  <c r="B4" i="10"/>
  <c r="B11" i="10"/>
  <c r="B3" i="10"/>
  <c r="B12" i="10"/>
  <c r="B10" i="10"/>
  <c r="B9" i="10"/>
  <c r="B7" i="10"/>
  <c r="B2" i="5"/>
  <c r="C2" i="4"/>
  <c r="B15" i="5"/>
  <c r="B3" i="5"/>
  <c r="B4" i="5"/>
  <c r="B5" i="5"/>
  <c r="B6" i="5"/>
  <c r="B7" i="5"/>
  <c r="B8" i="5"/>
  <c r="B9" i="5"/>
  <c r="B10" i="5"/>
  <c r="B11" i="5"/>
  <c r="B12" i="5"/>
  <c r="B13" i="5"/>
  <c r="B14" i="5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I2" i="10" l="1"/>
</calcChain>
</file>

<file path=xl/sharedStrings.xml><?xml version="1.0" encoding="utf-8"?>
<sst xmlns="http://schemas.openxmlformats.org/spreadsheetml/2006/main" count="195" uniqueCount="122">
  <si>
    <t>County</t>
  </si>
  <si>
    <t>Outcome</t>
  </si>
  <si>
    <t>Date</t>
  </si>
  <si>
    <t>First Name</t>
  </si>
  <si>
    <t>Last Name</t>
  </si>
  <si>
    <t>Phone Number</t>
  </si>
  <si>
    <t>Service</t>
  </si>
  <si>
    <t>ID</t>
  </si>
  <si>
    <t>Disaster</t>
  </si>
  <si>
    <t>Government &amp; Legal</t>
  </si>
  <si>
    <t>Wakulla</t>
  </si>
  <si>
    <t>Leon</t>
  </si>
  <si>
    <t>Services</t>
  </si>
  <si>
    <t>State</t>
  </si>
  <si>
    <t>Florida</t>
  </si>
  <si>
    <t>Volusia</t>
  </si>
  <si>
    <t>Total</t>
  </si>
  <si>
    <t>Food</t>
  </si>
  <si>
    <t>Education</t>
  </si>
  <si>
    <t>Healthcare &amp; Covid-19</t>
  </si>
  <si>
    <t>Alachua</t>
  </si>
  <si>
    <t>Baker</t>
  </si>
  <si>
    <t>Bay</t>
  </si>
  <si>
    <t>Bradford</t>
  </si>
  <si>
    <t>Brevard</t>
  </si>
  <si>
    <t>Broward</t>
  </si>
  <si>
    <t>Calhoun</t>
  </si>
  <si>
    <t>Charlotte</t>
  </si>
  <si>
    <t>Citrus</t>
  </si>
  <si>
    <t>Clay</t>
  </si>
  <si>
    <t>Collier</t>
  </si>
  <si>
    <t>Columbia</t>
  </si>
  <si>
    <t>DeSoto</t>
  </si>
  <si>
    <t>Dixie</t>
  </si>
  <si>
    <t>Duval</t>
  </si>
  <si>
    <t>Escambia</t>
  </si>
  <si>
    <t>Flagler</t>
  </si>
  <si>
    <t>Franklin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</si>
  <si>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</si>
  <si>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</si>
  <si>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</si>
  <si>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</si>
  <si>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</si>
  <si>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</si>
  <si>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</si>
  <si>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</si>
  <si>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</si>
  <si>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</si>
  <si>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</si>
  <si>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</si>
  <si>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Jackson</t>
  </si>
  <si>
    <t>Jefferson</t>
  </si>
  <si>
    <t>Lafayette</t>
  </si>
  <si>
    <t>Lake</t>
  </si>
  <si>
    <t>Lee</t>
  </si>
  <si>
    <t>Levy</t>
  </si>
  <si>
    <t>Liberty</t>
  </si>
  <si>
    <t>Madison</t>
  </si>
  <si>
    <t>Manatee</t>
  </si>
  <si>
    <t>Marion</t>
  </si>
  <si>
    <t>Martin</t>
  </si>
  <si>
    <t>Miami-Dade</t>
  </si>
  <si>
    <t>Monroe</t>
  </si>
  <si>
    <t>Nassau</t>
  </si>
  <si>
    <t>Okaloosa</t>
  </si>
  <si>
    <t>Okeechobee</t>
  </si>
  <si>
    <t>Orange</t>
  </si>
  <si>
    <t>Osceola</t>
  </si>
  <si>
    <t>Palm Beach</t>
  </si>
  <si>
    <t>Pasco</t>
  </si>
  <si>
    <t>Pinellas</t>
  </si>
  <si>
    <t>Polk</t>
  </si>
  <si>
    <t>Putnam</t>
  </si>
  <si>
    <t>Santa Rosa</t>
  </si>
  <si>
    <t>Sarasota</t>
  </si>
  <si>
    <t>Seminole</t>
  </si>
  <si>
    <t>Sumter</t>
  </si>
  <si>
    <t>Suwannee</t>
  </si>
  <si>
    <t>Taylor</t>
  </si>
  <si>
    <t>Union</t>
  </si>
  <si>
    <t>Walton</t>
  </si>
  <si>
    <t>Washington</t>
  </si>
  <si>
    <t>St.Johns</t>
  </si>
  <si>
    <t>St.Lucie</t>
  </si>
  <si>
    <t>Child Care &amp; Parenting</t>
  </si>
  <si>
    <t>Clothing &amp; Household</t>
  </si>
  <si>
    <t>Employment &amp; Income</t>
  </si>
  <si>
    <t>Housing &amp; Shelter</t>
  </si>
  <si>
    <t>Mental Health</t>
  </si>
  <si>
    <t>Substance Abuse</t>
  </si>
  <si>
    <t>Transportation Assistance</t>
  </si>
  <si>
    <t>Utilities</t>
  </si>
  <si>
    <t>Other</t>
  </si>
  <si>
    <t>Month</t>
  </si>
  <si>
    <t>Year</t>
  </si>
  <si>
    <t>Month list</t>
  </si>
  <si>
    <t>January</t>
  </si>
  <si>
    <t>February</t>
  </si>
  <si>
    <t>March</t>
  </si>
  <si>
    <t>April</t>
  </si>
  <si>
    <t>May</t>
  </si>
  <si>
    <t>June</t>
  </si>
  <si>
    <t>August</t>
  </si>
  <si>
    <t>September</t>
  </si>
  <si>
    <t>October</t>
  </si>
  <si>
    <t>November</t>
  </si>
  <si>
    <t>December</t>
  </si>
  <si>
    <t>Count Month</t>
  </si>
  <si>
    <t>Year Count</t>
  </si>
  <si>
    <t>Total Calls</t>
  </si>
  <si>
    <t>July</t>
  </si>
  <si>
    <t>Time</t>
  </si>
  <si>
    <t>Region</t>
  </si>
  <si>
    <t>ME</t>
  </si>
  <si>
    <t>Staff</t>
  </si>
  <si>
    <t>Jane</t>
  </si>
  <si>
    <t>Doe</t>
  </si>
  <si>
    <t>555-555-5555</t>
  </si>
  <si>
    <t>Caller wanted information about education in her area.</t>
  </si>
  <si>
    <t>Region3</t>
  </si>
  <si>
    <t>Organization3</t>
  </si>
  <si>
    <t>Sofia Homes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</si>
</sst>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b/>
      <sz val="12"/>
      <color rgb="FF202124"/>
      <name val="Arial"/>
      <family val="2"/>
    </font>
    <font>
      <sz val="11"/>
      <color theme="8" tint="0.79998168889431442"/>
      <name val="Tw Cen MT"/>
      <family val="2"/>
      <scheme val="minor"/>
    </font>
    <font>
      <sz val="8"/>
      <name val="Tw Cen MT"/>
      <family val="2"/>
      <scheme val="minor"/>
    </font>
    <font>
      <sz val="12"/>
      <color rgb="FF202124"/>
      <name val="Tw Cen M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4" fontId="1" fillId="0" borderId="0" xfId="0" applyNumberFormat="1" applyFont="1"/>
    <xf numFmtId="0" fontId="2" fillId="0" borderId="0" xfId="0" applyFont="1"/>
    <xf numFmtId="0" fontId="0" fillId="0" borderId="0" xfId="0" applyNumberFormat="1"/>
    <xf numFmtId="0" fontId="5" fillId="0" borderId="0" xfId="0" applyFont="1"/>
    <xf numFmtId="0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Font="1" applyAlignment="1"/>
    <xf numFmtId="0" fontId="0" fillId="0" borderId="0" xfId="0" applyAlignment="1"/>
    <xf numFmtId="18" fontId="0" fillId="0" borderId="0" xfId="0" applyNumberFormat="1"/>
    <xf numFmtId="0" fontId="3" fillId="2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F27A5"/>
      <color rgb="FFCA26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Calls</a:t>
            </a:r>
            <a:r>
              <a:rPr lang="en-US" baseline="0"/>
              <a:t> by Service</a:t>
            </a:r>
            <a:endParaRPr lang="en-US"/>
          </a:p>
        </c:rich>
      </c:tx>
      <c:layout>
        <c:manualLayout>
          <c:xMode val="edge"/>
          <c:yMode val="edge"/>
          <c:x val="0.49368361485507239"/>
          <c:y val="4.8426162431262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97659667541558"/>
          <c:y val="2.1257328749399281E-2"/>
          <c:w val="0.63780550205312803"/>
          <c:h val="0.9787426712506007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Calls_by_Service!$B$1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 w="19050">
              <a:solidFill>
                <a:schemeClr val="lt1"/>
              </a:solidFill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Calls_by_Service!$A$2:$A$15</c:f>
              <c:strCache>
                <c:ptCount val="14"/>
                <c:pt idx="0">
                  <c:v>Child Care &amp; Parenting</c:v>
                </c:pt>
                <c:pt idx="1">
                  <c:v>Clothing &amp; Household</c:v>
                </c:pt>
                <c:pt idx="2">
                  <c:v>Disaster</c:v>
                </c:pt>
                <c:pt idx="3">
                  <c:v>Education</c:v>
                </c:pt>
                <c:pt idx="4">
                  <c:v>Employment &amp; Income</c:v>
                </c:pt>
                <c:pt idx="5">
                  <c:v>Food</c:v>
                </c:pt>
                <c:pt idx="6">
                  <c:v>Government &amp; Legal</c:v>
                </c:pt>
                <c:pt idx="7">
                  <c:v>Healthcare &amp; Covid-19</c:v>
                </c:pt>
                <c:pt idx="8">
                  <c:v>Housing &amp; Shelter</c:v>
                </c:pt>
                <c:pt idx="9">
                  <c:v>Mental Health</c:v>
                </c:pt>
                <c:pt idx="10">
                  <c:v>Substance Abuse</c:v>
                </c:pt>
                <c:pt idx="11">
                  <c:v>Transportation Assistance</c:v>
                </c:pt>
                <c:pt idx="12">
                  <c:v>Utilities</c:v>
                </c:pt>
                <c:pt idx="13">
                  <c:v>Other</c:v>
                </c:pt>
              </c:strCache>
            </c:strRef>
          </c:cat>
          <c:val>
            <c:numRef>
              <c:f>Calls_by_Service!$B$2:$B$15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D-40B2-98AC-519780666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0112672"/>
        <c:axId val="1306008224"/>
      </c:barChart>
      <c:valAx>
        <c:axId val="130600822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112672"/>
        <c:crosses val="autoZero"/>
        <c:crossBetween val="between"/>
      </c:valAx>
      <c:catAx>
        <c:axId val="1160112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00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97659667541558"/>
          <c:y val="2.1257328749399281E-2"/>
          <c:w val="0.63780550205312803"/>
          <c:h val="0.97874267125060077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Calls_by_Service!$B$1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pattFill prst="ltUpDiag">
                <a:fgClr>
                  <a:schemeClr val="accent4">
                    <a:shade val="39000"/>
                  </a:schemeClr>
                </a:fgClr>
                <a:bgClr>
                  <a:schemeClr val="accent4">
                    <a:shade val="39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39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777-4ECD-889E-9469D1A33DEB}"/>
              </c:ext>
            </c:extLst>
          </c:dPt>
          <c:dPt>
            <c:idx val="1"/>
            <c:invertIfNegative val="0"/>
            <c:bubble3D val="0"/>
            <c:spPr>
              <a:pattFill prst="ltUpDiag">
                <a:fgClr>
                  <a:schemeClr val="accent4">
                    <a:shade val="48000"/>
                  </a:schemeClr>
                </a:fgClr>
                <a:bgClr>
                  <a:schemeClr val="accent4">
                    <a:shade val="4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4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777-4ECD-889E-9469D1A33DEB}"/>
              </c:ext>
            </c:extLst>
          </c:dPt>
          <c:dPt>
            <c:idx val="2"/>
            <c:invertIfNegative val="0"/>
            <c:bubble3D val="0"/>
            <c:spPr>
              <a:pattFill prst="ltUpDiag">
                <a:fgClr>
                  <a:schemeClr val="accent4">
                    <a:shade val="58000"/>
                  </a:schemeClr>
                </a:fgClr>
                <a:bgClr>
                  <a:schemeClr val="accent4">
                    <a:shade val="5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5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777-4ECD-889E-9469D1A33DEB}"/>
              </c:ext>
            </c:extLst>
          </c:dPt>
          <c:dPt>
            <c:idx val="3"/>
            <c:invertIfNegative val="0"/>
            <c:bubble3D val="0"/>
            <c:spPr>
              <a:pattFill prst="ltUpDiag">
                <a:fgClr>
                  <a:schemeClr val="accent4">
                    <a:shade val="67000"/>
                  </a:schemeClr>
                </a:fgClr>
                <a:bgClr>
                  <a:schemeClr val="accent4">
                    <a:shade val="67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67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777-4ECD-889E-9469D1A33DEB}"/>
              </c:ext>
            </c:extLst>
          </c:dPt>
          <c:dPt>
            <c:idx val="4"/>
            <c:invertIfNegative val="0"/>
            <c:bubble3D val="0"/>
            <c:spPr>
              <a:pattFill prst="ltUpDiag">
                <a:fgClr>
                  <a:schemeClr val="accent4">
                    <a:shade val="76000"/>
                  </a:schemeClr>
                </a:fgClr>
                <a:bgClr>
                  <a:schemeClr val="accent4">
                    <a:shade val="7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7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777-4ECD-889E-9469D1A33DEB}"/>
              </c:ext>
            </c:extLst>
          </c:dPt>
          <c:dPt>
            <c:idx val="5"/>
            <c:invertIfNegative val="0"/>
            <c:bubble3D val="0"/>
            <c:spPr>
              <a:pattFill prst="ltUpDiag">
                <a:fgClr>
                  <a:schemeClr val="accent4">
                    <a:shade val="86000"/>
                  </a:schemeClr>
                </a:fgClr>
                <a:bgClr>
                  <a:schemeClr val="accent4">
                    <a:shade val="8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8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777-4ECD-889E-9469D1A33DEB}"/>
              </c:ext>
            </c:extLst>
          </c:dPt>
          <c:dPt>
            <c:idx val="6"/>
            <c:invertIfNegative val="0"/>
            <c:bubble3D val="0"/>
            <c:spPr>
              <a:pattFill prst="ltUpDiag">
                <a:fgClr>
                  <a:schemeClr val="accent4">
                    <a:shade val="95000"/>
                  </a:schemeClr>
                </a:fgClr>
                <a:bgClr>
                  <a:schemeClr val="accent4">
                    <a:shade val="9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9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777-4ECD-889E-9469D1A33DEB}"/>
              </c:ext>
            </c:extLst>
          </c:dPt>
          <c:dPt>
            <c:idx val="7"/>
            <c:invertIfNegative val="0"/>
            <c:bubble3D val="0"/>
            <c:spPr>
              <a:pattFill prst="ltUpDiag">
                <a:fgClr>
                  <a:schemeClr val="accent4">
                    <a:tint val="96000"/>
                  </a:schemeClr>
                </a:fgClr>
                <a:bgClr>
                  <a:schemeClr val="accent4">
                    <a:tint val="9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9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8777-4ECD-889E-9469D1A33DEB}"/>
              </c:ext>
            </c:extLst>
          </c:dPt>
          <c:dPt>
            <c:idx val="8"/>
            <c:invertIfNegative val="0"/>
            <c:bubble3D val="0"/>
            <c:spPr>
              <a:pattFill prst="ltUpDiag">
                <a:fgClr>
                  <a:schemeClr val="accent4">
                    <a:tint val="86000"/>
                  </a:schemeClr>
                </a:fgClr>
                <a:bgClr>
                  <a:schemeClr val="accent4">
                    <a:tint val="8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8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8777-4ECD-889E-9469D1A33DEB}"/>
              </c:ext>
            </c:extLst>
          </c:dPt>
          <c:dPt>
            <c:idx val="9"/>
            <c:invertIfNegative val="0"/>
            <c:bubble3D val="0"/>
            <c:spPr>
              <a:pattFill prst="ltUpDiag">
                <a:fgClr>
                  <a:schemeClr val="accent4">
                    <a:tint val="77000"/>
                  </a:schemeClr>
                </a:fgClr>
                <a:bgClr>
                  <a:schemeClr val="accent4">
                    <a:tint val="77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77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8777-4ECD-889E-9469D1A33DEB}"/>
              </c:ext>
            </c:extLst>
          </c:dPt>
          <c:dPt>
            <c:idx val="10"/>
            <c:invertIfNegative val="0"/>
            <c:bubble3D val="0"/>
            <c:spPr>
              <a:pattFill prst="ltUpDiag">
                <a:fgClr>
                  <a:schemeClr val="accent4">
                    <a:tint val="68000"/>
                  </a:schemeClr>
                </a:fgClr>
                <a:bgClr>
                  <a:schemeClr val="accent4">
                    <a:tint val="6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6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8777-4ECD-889E-9469D1A33DEB}"/>
              </c:ext>
            </c:extLst>
          </c:dPt>
          <c:dPt>
            <c:idx val="11"/>
            <c:invertIfNegative val="0"/>
            <c:bubble3D val="0"/>
            <c:spPr>
              <a:pattFill prst="ltUpDiag">
                <a:fgClr>
                  <a:schemeClr val="accent4">
                    <a:tint val="58000"/>
                  </a:schemeClr>
                </a:fgClr>
                <a:bgClr>
                  <a:schemeClr val="accent4">
                    <a:tint val="5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5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8777-4ECD-889E-9469D1A33DEB}"/>
              </c:ext>
            </c:extLst>
          </c:dPt>
          <c:dPt>
            <c:idx val="12"/>
            <c:invertIfNegative val="0"/>
            <c:bubble3D val="0"/>
            <c:spPr>
              <a:pattFill prst="ltUpDiag">
                <a:fgClr>
                  <a:schemeClr val="accent4">
                    <a:tint val="49000"/>
                  </a:schemeClr>
                </a:fgClr>
                <a:bgClr>
                  <a:schemeClr val="accent4">
                    <a:tint val="49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49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9-8777-4ECD-889E-9469D1A33DEB}"/>
              </c:ext>
            </c:extLst>
          </c:dPt>
          <c:dPt>
            <c:idx val="13"/>
            <c:invertIfNegative val="0"/>
            <c:bubble3D val="0"/>
            <c:spPr>
              <a:pattFill prst="ltUpDiag">
                <a:fgClr>
                  <a:schemeClr val="accent4">
                    <a:tint val="40000"/>
                  </a:schemeClr>
                </a:fgClr>
                <a:bgClr>
                  <a:schemeClr val="accent4">
                    <a:tint val="4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B-8777-4ECD-889E-9469D1A33DEB}"/>
              </c:ext>
            </c:extLst>
          </c:dPt>
          <c:cat>
            <c:strRef>
              <c:f>Calls_by_Service!$A$2:$A$15</c:f>
              <c:strCache>
                <c:ptCount val="14"/>
                <c:pt idx="0">
                  <c:v>Child Care &amp; Parenting</c:v>
                </c:pt>
                <c:pt idx="1">
                  <c:v>Clothing &amp; Household</c:v>
                </c:pt>
                <c:pt idx="2">
                  <c:v>Disaster</c:v>
                </c:pt>
                <c:pt idx="3">
                  <c:v>Education</c:v>
                </c:pt>
                <c:pt idx="4">
                  <c:v>Employment &amp; Income</c:v>
                </c:pt>
                <c:pt idx="5">
                  <c:v>Food</c:v>
                </c:pt>
                <c:pt idx="6">
                  <c:v>Government &amp; Legal</c:v>
                </c:pt>
                <c:pt idx="7">
                  <c:v>Healthcare &amp; Covid-19</c:v>
                </c:pt>
                <c:pt idx="8">
                  <c:v>Housing &amp; Shelter</c:v>
                </c:pt>
                <c:pt idx="9">
                  <c:v>Mental Health</c:v>
                </c:pt>
                <c:pt idx="10">
                  <c:v>Substance Abuse</c:v>
                </c:pt>
                <c:pt idx="11">
                  <c:v>Transportation Assistance</c:v>
                </c:pt>
                <c:pt idx="12">
                  <c:v>Utilities</c:v>
                </c:pt>
                <c:pt idx="13">
                  <c:v>Other</c:v>
                </c:pt>
              </c:strCache>
            </c:strRef>
          </c:cat>
          <c:val>
            <c:numRef>
              <c:f>Calls_by_Service!$B$2:$B$15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80-440E-9A69-064494DFC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0112672"/>
        <c:axId val="1306008224"/>
      </c:barChart>
      <c:valAx>
        <c:axId val="130600822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112672"/>
        <c:crosses val="autoZero"/>
        <c:crossBetween val="between"/>
      </c:valAx>
      <c:catAx>
        <c:axId val="1160112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00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'Formula calls by month'!$D$2:$D$12</c:f>
              <c:numCache>
                <c:formatCode>General</c:formatCod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cat>
          <c:val>
            <c:numRef>
              <c:f>'Formula calls by month'!$E$2:$E$12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2-4758-99AB-A31FD698528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1428968928"/>
        <c:axId val="1459746464"/>
        <c:axId val="0"/>
      </c:bar3DChart>
      <c:catAx>
        <c:axId val="142896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746464"/>
        <c:crosses val="autoZero"/>
        <c:auto val="1"/>
        <c:lblAlgn val="ctr"/>
        <c:lblOffset val="100"/>
        <c:noMultiLvlLbl val="0"/>
      </c:catAx>
      <c:valAx>
        <c:axId val="145974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96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</cx:f>
        <cx:nf>_xlchart.v5.2</cx:nf>
      </cx:strDim>
      <cx:numDim type="colorVal">
        <cx:f>_xlchart.v5.5</cx:f>
        <cx:nf>_xlchart.v5.4</cx:nf>
      </cx:numDim>
    </cx:data>
  </cx:chartData>
  <cx:chart>
    <cx:title pos="t" align="ctr" overlay="0">
      <cx:tx>
        <cx:txData>
          <cx:v>Calls by County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Calls by County</a:t>
          </a:r>
        </a:p>
      </cx:txPr>
    </cx:title>
    <cx:plotArea>
      <cx:plotAreaRegion>
        <cx:plotSurface>
          <cx:spPr>
            <a:noFill/>
          </cx:spPr>
        </cx:plotSurface>
        <cx:series layoutId="regionMap" uniqueId="{7029F34F-D214-4868-8D9C-7E08FEB27F6C}">
          <cx:tx>
            <cx:txData>
              <cx:f>_xlchart.v5.4</cx:f>
              <cx:v>Total</cx:v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3H3ZctvIsu2vOPx8oUYVClWFHbtPxAU4aZaswe5+QbAlGfM84+vPAjVsEdSWaJn34fKh1bLILCSw
kFk517/v2n/dhQ/L/EsbhXHxr7v2z69uWab/+uOP4s59iJbFQeTd5UmR/CwP7pLoj+TnT+/u4Y/7
fNl4sfMHVQn7485d5uVD+/V//o3VnIfkJLlbll4SX1YPefftoajCsnjnszc/+rK8j7x44hVl7t2V
5M+vszDJvfvl1/UP6J9fT5Y/l91DWT58/fIQl17ZXXfpw59f1+jp1y9/jC+zwdKXEFyX1T2INfVA
1TWiMqaqXGOC869fwiR2nj5WpHZAhCooNThhVBeSPF/8bBmB/oWnL1ZSxWX3/OmbrK0YW97f5w9F
gbtb/f+tJdbuCA/k5J1n8XLdu+H6AwoOAPnz603slQ/3X67KZflQfP3iFcmKwbyzkuG+b65WD+qP
dRz/59+jP+DRjf7yCurxc/7oo3VA30P6/4bLO7fCK7AznKlxwHViCJ1rRBBNcjHCmR5oVFeJITX+
Fs5PHL087XcYexvl8QJbYDwm2SeEzWXwkO8QX8gxlYMIc2oQXdUMyOmaHNMDQjhgV7nOIMxSPl/8
UY5X/Hwe3XXyLbBdJ9gnZE8edqmfKT+A4iXMUA1AKwxtBCs5kNDKXOjQ0tKQjK3DCmY+D+pr4i0g
ff31fQJ08RDf5+9vbL+25wJTwTWpQwixnwpNboLKNA2IMp2rOtuQ1UeGPo/riH4LaEcU+4Tu5OEq
KZNnqXnTbPlFdMUBJcCXwWJUmSFVfVNksQlzLlVDlVTVRhbVI0OfR3dEvwW6I4p9QtfMk2aZ3+8S
Xn5AKCOccqEZg8E0hlc9IEzTpU5VXYV4U3z+aCw9bbSPHH0e36dbellgC4DHJPuE8CxcOuFOTSmY
yoxzJlWq64RyQ99Uz5QzomLTVZmUdOwSPXH0AtAvm8rjBbZAeEyyTwiby11uvjCUCYSTECIJZyof
5HPNUNYPhKZKjRkcJpcYS++y+zyuuJEX4i0wff31fcLzwosfwnBZPOvF3ey5BtcMAy6OTjgh2lhk
6YEwDEMXVOia8Qj6a6X8zNILPL8ssxsrbAHwBs0+oXwY33vL+Ms3r96tchYHMJ2l1HTAaEjKEPBa
E1/1QJOGKjjV4AirREc86zXSr9n6PNpvrrIF4m/S7RPq1jJ0EYd7fuY7EG3oa8Z02FGU6hojwhgH
rvQDBC+hrFWK8BblY8CfOPo81uMFtoB5TLJPCF9VzTKOdxrjGGJXhgGbCnKL8KNBEMRYk2l6YEjO
EHymDLHoDY/pmaXPY7yxwhYgb9DsE8pmvrz/mezWcTIODCCsaUITRFJOxoKMCKWK8DOF78zxjQ3T
64mlz6P8fFMvK2yB8gbNPqG88MKw+CfJk8pxd6iyqQDSglHNgBWtcZ1uWmPQ6AKyLsmQchqr7Nds
vWD1yxbZm6tsgfibdPuE+jxc3g8psXee6C9GvPgB/CWmI+rxKLxjm4wcQLAZ5ZJI+Qbejwx9HukR
/RYYjyj2CV0zf6h3HPGSB3CFAZ0qoJ41IDnantUDfKQbSCsZiGvCp35+t54jXiuOPo/v0y29LLAF
wGOSfUL4vLh7SMKdJoclDDDGh+1ZfQx5jRAmBwzRMMi4ZJJrGxGvJ45eAHpHs7ydHB4vsAXCY5J9
QngBAd6phY0dWR/SvhJVHsg5wXXeABgijJSFTo0hOTy2vR4Z+jy+I/ot4B1R7BO6lrvMw2S3ZTxI
KRrYXeEhSdQAGIhejwAejGuiwijbNKxf+Pk8vptLbAHxJtE+obx4yONlfL/TzKIcpFgaOgOUqmqI
TQ9Kwyug65Bi/G8j9vXM0udx3lhhC5g3aPYJZcsr82qntrSELQ1bmQqhw2AGlhuCDDUtmSE0Mpjc
BLb26/jmI0OfR3hEvwW+I4p9QvfkIdl5KBM6WEV2GGEOsqGk2QGFU4wqH0akMYC7ju3AzueRXaPe
Ate17+8Tqla404Qi0sUG3FoUdAgCmX2jQoujykPlQ8piI5848PJ5SNeot4B07fv7BOncC+/cHCXU
zwKzg8TDUDGL8BTT4e6sEk3jqAZdub1EBajGEMQaaeIXnj6P7+YSW4C8SbRPSJ8uc5R37xZmKFtU
wMP/QV0A0sMbGy7REKtE7SwCmWxDgh8Z+jzGI/otAB5R7BO6VhKG3m7zxSjXQixaJ/B8UfyO9NII
XoLKAB2BDU3VkGLciEU/cfR5fMcLbAHwmGTPEK6if7xdRq9WFT2DdKoQ4MHD3ZRgjpQT0403S3rw
tFcc/RbE6ytsh/E6zT6BPPFa72G3OnpobGAQVEq1IQA5EmI0KcHEYtDfiGMaqzfgtVO04ufz+K6T
bwHuOsE+IXu97NCdtkNoB+FFQxJaVij0M6ppx7lC7QB5f2SNGVsVd4zLaR8Z+jy2I/otwB1R7BO6
k6pehrsFF01lBof5JLnBqRxrZoKmNC5QsIfcAzoeDGSW1uR24Ofz2K5u54V8C2jXCfYJ2Wlxt9z9
totUnzS4jrLLlXE8UsqrPgjAyxgCWptZ/meWXgD65azRxgpbQLxBs08oXy3jcvnlW1Ls2LzCjov9
lWiUsTeEWKAATyOo8zAQAtnsLPwPU59H+o01tsD6Dap9QnuWL+Mg9HbsDAsobGzG6G9Ale1GlzBD
rEsjBl6EN2X6maXPI72xwhY4b9DsE8rz5X1x/7BLkGFy6RLND6jEQyAatbPjwBbD54O7pDIdr8FG
GumJo89jPF5gC4jHJPuE8MJz3BCpwp2mkcQBUkQISyKsgdCWLjfDHmwIehAUdDzmkdYtrxeePo/y
5hJb4LxJtE9InyZxnuzUMYaoIhus/SdnNLLBhugWYpboZJNvZB8e+fk8xCP6LfAdUewTuPMq/Pks
RLtJP6BBGLgh8sxWfcIjaPUDDTVZ6A9/Krobpx/AzueRHW7mhXoLXNe+v0+oXiRhsEtUURqNyg1D
oEvtMaEwQhXzHDDtQZPII6LhYaPVYWDnBZdfdpjWqLdAde37+4TqYhl5YbnTPNJgVREEqhDG0gzB
UDE7QhZNLEAUoRBDU9FePK6SfWbp8+hurLAFwhs0e4VyEkY7LXQHxpjAomo6Ovsp+s02Cjj0g8ED
RicTCvA2U4WLFT+/AfA6/TbwrlPsE7hHy7ug2LUEo+hK19B9hJE7EGGU36y1oekHaGlBgfR/aWN4
4ujz+I4X2ALgMcleIfzw8+dDvnOMdQYJNhDRkgbqrMa9DNqBhPxKTtArPmSDR1bV0TNPv4HyxhLb
4LxBtE9IX5UHR4kb79QBNg4QmlZRnEOfCiVHwkwO0KuCxNPjsLtxWgkcfVmx9HmcN5fYAudNon3C
+QRD73ZpTKNWFuoYM7IoHQwubZwWhverAX79cbLlhjAP7Hwe3zXqLaBd+/5eofpQd7tEFeN3mESe
H7KJnAMX4/AkxQQIgrK7ocB9LLcn4OU3IH1NvQ2kr7+/T5CeLu8xMHXHQWcMstMxVAmBZXi/Y1HV
DhBqVuHxciEF+sBHmeAnhj4P7XiBLdAdk+wTwCfePw/5B9N6f60JGL4RsoDoPtI5UvlE3WhcQOpI
YFIlhllqz1Var3P9Txx9HuHxAlsgPCbZJ4RPlzEmH+90u0VOQcKownRDDc7RW2M6oJCRdMDIymHA
8FCH9xrhJ44+j/B4gS0QHpPsFcIeoljKBM38z895F2FnjD/DXDs0K6AHRaiozRrZzajXwnCHVfBj
M8Jx+sLSb6C8ucY2QG9S7RXWmDu/20y/AI6Gzo1nKMcbMmbyoNcQJXlIEg5DaDeEeWDoN1Be3dAL
/TYIr1PsE7pny6JYVjuUYmzGHNPREOXgTAgMIh2ji4Z+lMQPk9I0qSI1ODK3Hhl6QeeXEw0j+i3Q
HVHsE7rnwTJMdl6TJTDzDPMa2GOj79hH4gfYilESjzE7Q7f/2E16ZunzCG+ssAXGGzT7hfLDw52b
/LNrk4tCSCUiGBisgrTDWI4xeoUiQYwtGa7VMG74WYk8jl45D56Z+h2kN9bYCusNqr1CG7V3zk7t
LvT2YxC8tgJxENe1zAOClSihhvuEEsw3Jjicr7j5DYjX6beBd51in6C9WIbRF/MBB7A8y9IuzGqM
/EedFfIOBn0+p2EN4eEYHoYZPI9JCWjs54s/CvJ/mPo8ym+ssQXSb1DtF9rF3Y5ndKAoB81I6O/n
Kkf78EiUMYkYcU1Mb5BoekFD6cjyuliCn9/B+DX5VvC+JtgrZKsyXkbPYrQLGUZDOJqQ1KEnnA3V
OSNkh2YWTEnTMat0GJE1trkuVvz8BrTr9Ntgu06xT+AiT3ZS3e22yRDhLYaEILZZnKCkUzHuRMNk
6SGbiILpxyG0IxU9pO5WPH0e4s0ltkB5k2ivgF7myyIpd9nQgmFoqPHA8TraapjhqqN/bS+mgymm
c67DgUZ57Tj0cfXE0m/gPF5hG5jHNHuF8gOOQEzCHRvUg0cEkwoHNzJ0KG1oa0j4kGjS+GMq8Xmn
eDS4rp44+g2QxytsA/KYZq9ArqJyt7MdMJgUDQ4QUhym9DQvaSTIyBPrOoq6UM+zaWtdrRj6DYTX
6bfBd51in9DFeZu7ThjDjEaxNNq+YSyjOXgkwDiwUlMFNmQc7KFugrvi5/PYrpNvAe06wT4he4sB
GcVOJ3ZgtJKKQZUGNmCpro5YGmFLVgcCoBgAI0uHA5ZGptYTR59Hd7zAFviOSfYJ4e/LoMKJPM87
4A58JSQgCErdhzpp5CA4V8cBaoaIFppXNAzDQ03ARq74iaPPIzxeYAuExyT7hfDu2x0Qx0CKUBMG
FSi/GxdLD8fkobsQSabHboeRCH9fDgz9Dr5r9FvBu0axX+gWLs4o33lDC8YJQ4YZ6uwQmtwoldYP
9FU45Gng8DiS9X35zNTvoLyxxlZIb1D9f4D2+yyu3fZwdDjORP+vadlfPAOeIveATkMydDcMBZdv
DNBCJcAwdvZ5Cs/ztR99pZcD6/87Q2+PfX8hXLu7x5t7/3H8vznO/b8f9Y5z4B9Pip8sy+U0Lr2y
e3Xa+/uf/hfS9+B7fJCH939+HQpdoTr/eL3IWlXVyzPcoHlYFuWfXxWJ1AIM6Ccvd4hKNg+PHwxH
qSFJjGPzKBzhVRwkTvLS/fOrhhM7UBmASCZVV0cQw/gukmr4iKLlGDO4YJehVBM5Zpx/+swb2gU7
J4lfnsbTv7/EVXSReHFZDNRfv6SPXxvuDikPjkojnOuFvhv8CmMQn98tv0Gb4dvk/zhNq/YyTaqF
HoTlJIty71zxE/+4SLPzsq3JhIeuO/ciJTjxbJVYFc0SK8mCiZ9esLR3j2lVnSllUJgyzRtL6Hl8
opfUykLHNY0qLg5LUp8WeiYXuRpnc8Ot5eTV837jHvAsXt/CMCxjsFHR+YfQIafDcLLXt5BlTm/U
fVvOVYzOsorKmwVKRE3FrkIzprS2+oyalSHuRaKEH1ybqG9dfEgQY64wjiwd6mpfXzzX/JqQSC/n
eebOZJ3Ms1DrzbxzpyEljVnZznnKU8UMstiyNa+y3r/3N68P2HDMD45sQuUn5gy8vn5P2iDtGCvn
kSwuNNYEE9KQxipibkbCUaw8OMy8ZqJ6UTGVeuyZH1x/9P6sHr6Gu0cTPF5LdEuvX7+tyyoIdTx8
XS9dy8/rb04eu6bW6cRUmStNTSudiZDeXV7L0Gq6jpkRm0t1GkdaYWpprnzwSN7maDjXCMKFgWaj
J1K2rm1raVnOlYRxk/itO40Jy6DPX4T8jZeOQG5Hbx0GHhLszxIzeTD2fXSZwpFaUWd2NW97kkw6
mfjTvOX+bWo3VsBL50h1YvusLxJL0posqkZpLkSet1YoMnqSasydhy3nx77H5Px93oZn/kqmgQnO
V4V+QAn/cBzBYBi8fif0rKaaS8pqXmT3wnY0kyvuHXKjZtfZ1x4GdVrc9tMP3oTNx44uEJxegaI1
lBhDa61f1HYDv5FaUs19RISs2DZCK1WNZPr+rb311JGCNwzURg4Rp+HzV+pKlQX1SRDg1pxWTnqJ
28gTXpihRrIP3qO3nuLrS40ARgexkzl6WM1l5xlmFdYTp/LvUz9ITU2wwuw0d+K53en7N6ghi7UB
HoqGOELgHGfyjRVy5wZcNg0Emgq1Ml2ljBdGpB6XnohmfUqZWRvnrt9Vp2naXJeC+dMuqxdQDYaZ
KiKY1KGuTRtfmSsNp4sgFDb4prOaQ+/Kqm7Mrg1OMr1Vzboy6qmteD9zR+vnik1P7a6trTh3fhaE
94suuMhl0llOoPsm6ah3Is3QKS9JpfzNMt1bfHDnwwMdvbYa6qlUnCErEXQav7aycDjFsR3lPKRl
MCOtd6mVsWa6Du5KcevLUs3NrKmVqaiN6yJkoemz7qKJazFpW72e8vgqLMrMVBWDmJUgZiqTZqJ1
fjFxPM2Ma7wstK5Vs8j7zAr15EyKfpG2rpll6oT0VDvRKfNP2+LOi2LFcmSjLuwfHS98k/rViUL9
7+/fMhksu817xt41KCsd/41E1TdCHvR6WM6TTETTquqPm8x/aJMuMYvmpveTwOorqViNrreLuMPj
UPSfnVGcqaU3S3tfOXGS+zjA/1X1L+rxZJKn5C/X7snU0xLPMnQy45WeWFrJZ44WimujsheG+o+v
SPcmasvabAT2SSWrqEWhzco66ixmq6qpltFxZBSlWSn4jPnRZVvLSyNJb8rqhAS+yeIuM6UmTmmp
ksNYt1h77PeOYWmuoKbXZEdNVV86aXMj6+OgNXIriSpvkrArNKLcSD28yn1dXxhcSS0eV9OylraV
xEdhELtWzhQx60WqTRLaYB9l3q1n5ZKkpizbWS+dG833LipRn+c8NUOv9k3ZNXddSlNLSeNuSpws
wrMzQxEcUXkhJh2PlEWdVtcIiZRWo5TnTuMdBwWLZm16k3miNzsWamZSh0dMzUrT78vA7PScmmGt
fCOJMMzEwBh0/S4R+YXOrnlS6GaU6X9Twq9Zz36IyHVMxWgPI0yrN22hcbOUWCSvqxvuyHri67k3
T6JUM6GvPDPOy/PQ7T54qzYVF46tGKYpD7OlMPtxZNK1haNXegM5qlg5S6N2LutAsYjXXtttLieO
q1p2GMcf6P83rwqHlCOqhNbdYajVa81s5Hg7jD7AtqveFlpzWSXhzyrnZ22v3OQs+B4Y/McH0rNp
e2HeMHYCtEJgtDCjoy2ncIw6VsIKtherSzMOIug2/ypXymKaL3VR91NDPVZLJTRTvb94/+Kbgotm
KjqY54h+I505Elyn0mu/qRPcrkh+pDmd+R1VDlkfKLO0pEdquRDKvdKI6IPHTJA3G2kMXBh1SrBz
Eb7Fo15/zpFqK1HZ4DmzSpwZkLCpFkW1FTpdexjEqNKHz2DpdVmaodufFVCephaHS17f+npFPuJm
c9cHN6ikkVTH6QuwO9a5CTylJzw1innbwgrCoTmm6qTB1HAKz4xkB8lsCnJWCLU2HZacB7Y9CUPp
TyO3uU44jed6qE7eR4a+BQ3sYYIhajjCA8U+6zxlWcJ6rxbFHKFRaYWhMk05I7Paq29Tp/tZFw03
iyyxTcKpg30v/B5pybdO2OpJEZK/gpY45qJg5ZErlc4MKsJMwVPfBK6TUnWuiU9PS08VZzBF6nnb
mHZpR6dZ7/50md1O9QBLv39LK7NmfWtEWYvAgHxM/xuKI0a2iMMURbFdrZgL1hvzeFI61RkRdjSN
6wqbMgkSq/a9zKo1Fpl+2AaLvmCZGeqD4Efw1gqVL2kP04XXcWEFxaRJ03LCjcKY9pE2EU0YzlQ9
VieBY2uHFZPXKk3E1OFuP2lZBxVmnBitKBd6ght22KGjYVttw3Dh4Bklnht9YH0xxC833vPhQPnh
vFoGdTZ8/srSs0luRJ1sinkdFFbpugtXhKZwlW7RZ+SkLjPL0V126DZKaFVx3JqJ+9NHu47uwuCv
K6YsYJ538AJbPoED2Jh4Nr3Z1x21Gj/5EbVZZfqDM1u6fFaG/yiyucndUB6FMSmmVTPYP1ybRGmu
mVSvA1OnqWbxOjiSTuNMU7voTdfrln0R6WYYsNwK7UKbULW4ahJ+//4LsLL6Nl6AV09jJGdNGTbM
Sbpi7lQksLqwyy3ak9xMRNRM0kBGU+iF1GrswOSk9i2DFtRCo9FN7Zfn7/Oiv6XpYYBjk4YWImKs
+mRXs6bTq2JuRKKeN0x2x4wG3yvbmPKMdCeeXgsr9SrbzB0HCiEk51GbBOfCSA8NFi56MH5iJyoe
aWqUcFW7Y2FEmpn3Sm9Gg43jx5nVsuAfnWIRL0uWJanqQ8NhqWlnXE7wMK6x7HUuK3/SCzu03DqJ
TSKDeBpJ72cYl51lC3pehro90yP+I0r13JRG2Zlab7fzwA1hv6uHLoWKwnlQ0QSl38asNarI9NTv
GrOXRCQ3vPKxt6fGVJTZ96osLC1zvRMv0yyWO/eS+OHRB89286XHzATUS8AGRt3EEHl6/dLjKBQR
2D7UqWTB0rHLZKL0qmsmPWz696/0hpJEUmgYXoYYMpypAeRX4lWEAcesPFLMUyf+6aeZFYl0AdV5
IRs3Mt3UNeOIuRaL2fX7F37D5EUsDKOoMSmecVRyjXRZZjtVKmwd6jnWp1XtF2YlW3YYlMUd1URr
9tKeCFqVJo8DbuqO6k2jDp68DbveCsJkkgp5z/TKm/dpy63Ozf1p4s1sTtwP1O4bLzpXcWwuCpVg
XMCxXX9GpeNl1PbVYh67jmE22XFS+MtaDS9aRbciz/tZiOSjYNbKaBlJ+jBQAacJIu+uo4Vk/aJG
rRSt50G6SF2dqZo6ge6fCOFNei5OHGmXFuVFOlMMbYEowzdqy0NaxPWkMQLb1BJ20Wp5OXHdsp7l
NgzN3uuuPdIcl8pHJtCmvwYgkZrAvg+HF8UC65x6VVnrbg2d1MiknKip4NCDwjW5GniW7vo/339x
3nxj4SJJHIWLvOZ4D+SGHzhR1RZzLT5tSnrKGK5KY34G5ayZId5fy+jbcKJ89MJueuQYR4MoKV5X
AILBUuv36RfESQhLi3nUl9+bjl0SAe/QdkVguW1+DnfFIg78z6B1FYs7pW36ejFxawV+uO1ElowK
bmlqPVNlcNT3PP1gq3wjFAUGh9YElMYiXzTWGk1X6b1bBJAohS2hVWo4MqU/C9LiFH7jg+vBOq6Z
nHEKf010VylzJjbr06nIaY8IWfhT6/AI34eLvYUXLGQgBe9W4hin9cdWOrVNtVjN513l+DM16txD
JdYPw6L3J20H47UoDcPyPUedObXqTGA4HqYUQcTKl9FFF81jqntXWts+VL7bXFXEuXTtojhz4mND
0frjTLpnPTTNSWZk1YTbejz3YGiexdgXDJ+clpLEpme4xmmfYpuIa5hwntrxqcuN+nuRncYpPASv
RYTnsCjLZdjqP/oqTA4VzRe3NHPu+8ybBjVx503stqchwbam5X16kqSTIoMN8P4De+N5obkblVTQ
ibClyUgvuor0Oj3m2bx2dEvrPX9asb6eNnHlWkmlX3tudcmV/KfffBjEfsPWQuaJCUPF6Idh4OU6
VJ5PEO7PRTbnbSgWvlqxhafY9pzaWmDJhJPDJs+P6jpqjkIb8U1Ny/Qjt9N+3aeCL4V5qnzIRmzs
DGmc9mUqWTYPvO48Z1FtZoGqTr0mTizhkmUrY3LWJfGJz2jxwev6RiB91YyJox9ReoxY/kjKaW87
flLh4qXodLNy3DmVyT9+6jgnkZPRqacYseX0/aFfO7PUzdwPpPgNLWOoCPkhk48ZDZjlvo4BLKW4
NFw9m4dVH1mpcajZli+LwvT8iE5y9cM7hiv0hi8Jm3IYh4nzSjXo8fVryoAlldMTXLOOjH8SKnyr
SUt+0SJoM8PJm1dhXIcT0mbGtYL+N7yG9r0mXPdYtHY2d1rbuPCVZeyr7rSKOsdsPM+1gkZzLipa
nhQkY6aTVIpVCtebhEJTbqRdWGmX6ybs5OBECVpxWyDEVKh2ekXd8HvR1Z0litxflq0x07oivCzC
qEEWIdGxA6pwe+PWu4nLtJl6aeQsItpq3wPG/qm5q08b2saQ9EqeOmRYiBF7GQhl7tfWcIDNN0Rz
lGtmw4wUjX7rGYF/iPCXfWp7oWMmCVMudLXOL3tqh2bVaJdIbGQ35U8tkZXptTX/LrXbqif+Q424
ft5QM6+8awEP4jJpdOW0ye3aSqMYPrd0beObL4zOdJzu2K28i77vyG0RE8+F6Wn8sAs/nmsiQYgI
097PYyO8hSVTHea+05+1VD3W04oclaXxN5yg4DQlrX8i+1A1sUPGt23nX6u5U02ipjdmBim7v1zY
bVFXtkuW6CF0Bw0mZa94ZqCGjdV1VXLle+KOuml/pwbkMpbhXyXmG8xiyrzTTlTeadWW92lXNJZb
NWFvyiipplHq9fD3wvoI5YfwwMqwzydekHemT6KWT726tUSoFUd9ksKqr8LvpeJXczL8a/Un4fbS
6m0WTVBN6J1hZ/fOyiQpjzqESVZ/IjLVj0pJ52HsNSf+8CNRWf342+pvdtBOijq3514rZ36g6ScI
PfKT1W//+dFETj1NG8TkpJ5Gs84T2PZo4p3aTeedOqxFrNPpsqljB8mx26pKYhpKmRxnIv+75Qm8
l94ujzynqY5Wv/VRFE7DkKpmUDv9uZLk/XkVmDSxs/PVX5D568690GcL2QeLJOcnZWzrF//5kcWV
5cFWORNR4U70ImjnMcLvi6KLW9i4KbtpA81dlCKaN2XVm2VjM9sM4FIdGXV22wGBmSuEMw2Jbl8x
mcxIF5Pvipskx4ULX0aBmaymqfKtTInyrU2yyzoU5Wnix8oFyRE7NrxybreKNtEd3b523CA7covC
sVb/jGDin3Z9OKmK9jCvlUgxWxE0FzAT8qYLFbP0veqiCCZC9Y9p4dqXWWjoZqG04WGdZrZFMp7M
fJX7lyyp/UsEmOpp23n9pO84wu+8do811auP7T71rRKVTLdh54fzNEnFtIypfcv9QrFiVkawreS8
4G1/2zGCEIZT96exYve3NIiOFEaMy0jN89vo73D4Iyvc8LCtYghDKuYZ3Jcbxza6K17GZi5IdpN1
eTYpAidGjFzzpzypkKKDS3zOC087X/0G07WBr2EKWXgz0pSwkfxOy09E1ouZyIK/tVDqR0KW/Chy
Q473m5mstJOzuo0cC+m1fK4TdxLhXm6GGKVJAylMV3fqmR9r5EqN4sBU6osqSYup0eO2jdo2bmo3
5hO1lWKuBbhw7VXhpCVNeqp0tD9u02JW0GOSN4GD7Ll9WdZ19bfTsh911RyTPo7PeUO1s6TAe5JQ
2U6UPCpPiyYxGU/de5dHnUmZoyMGoWazxNGjaV0UeKBxGV31UXXZyZb/FfkynhZ12h4qrVL80Ntb
FHFHt5rHplqqIHAc+/XcjjL5V+UeZbTjfyP/287avC8XheIEP3SORPvwd67Byg3TsrfqFmpVk0lx
w5nSWTSn3aJyPTPNe/827ry/oUjCv2PNxteDK58m+YUkAb91/ZnmeNFtWzXVpSa9U7e7TVlGrmVu
JOcyam+cKrdvdK8PzvxSuVv9K2SedxoXYWxGdkInTawADcReL7HJmMLh9pUx/OhKFiAu1LPjECnQ
SerTfKHFVTnpEVxapJR0N4bN2cTzUg35tqS7CZkeTEOh/tM2bWRliV9cVa1LTg3mfcuLurgqhx+k
RfygTSS1HCcoraTWEXaOjeaoiSlyVMM//ar0r7w4nfBG/duI8nqeyVYsGm78aLU4gL/GIYs0wDvC
xII4gfdP8QCgm0WtNBU2H8kubC7gj+uTPCz0M6TlIjNuAzmXWYk0RZNnUyg8fqIrMp3qpedOWs/p
zh2Zdeer32oXhkwShJbeK/6sazXk89oiuGij1D3n4a2ROc4sqnUDoTGHHqu1Ro5TioiNyEQ/4Qqn
R5xg7zUyo18YXSSONcTXgtQ9E51Ijh0SpMcsjdRpUfjGvOl8qwr0eIYUbXFJPTWYaC0TxxmV6XHE
Gd5S0bvnq80uYfjU9Rs4+rban61+6MgbkMBQ52qROyfMyKbSIfSQ2fay98pj7pbR1M8eEqW+4zbB
noM4G27g2KiLwyp08xk8amOSiHbqsdI5JqrjTPSY+GacREe06xc53AhTZ95UqY25pqX3XhB8CwJb
Q263mzm996B0+TxPW1NXGjaNCwYuYPfVbTFNhFz0tEfy1fZPCrf4Xma+adP83q9PGPZxODBWW7K/
ao9/U5UunCD8dQlzfhK3KEkRAcWeX+vOJIMNqUTsRFbld9qVF30zZJXT81A4w66LzJLNUEkiTF0E
3yW1F6zX7yh156zw5i09smsDak35GdfeWUflfV+2rRlriaU4NoxWIRsrD4nVqmX6v1x9V3OjTBvl
L6KKHG6Jyg7jiTfUROimM9A0/Po99ltb39beUJLG1siEp09EFaxQUoaDtE22Hqbydn0BGaKXQB5f
1j191qk96oCp82SOc7SzFyvKeAVlYmo7OxqLkrqgjcTRzcRrdht205DWCYPlmO1/wThfVAR/dc9M
XHEVQ4Hke4TdBsia4M9SAljZn652sdstVZ+nSdsqpckrjf2jWufYLwPbAxUk0Gt77tczyX/nAdMl
IXwsD7a8iKJ/TfdD157bg26mQCaez99FxqzaoMZpmT8xuubNcWxLJQp+XmZx4VFq4U16T8S5n+RI
20QeQe2bHX9QFPwQyn9AKrFVnnfCD+vsAPcs5uPPuBEP5l94XizOL6xJttLewUpjTN7unr6Hk09r
JEJkpVX07BsvKueE0coGtGLht3DNH/uM4I9NcKpOnKkmnOjc6FE/tswTre8C08KqsmXv2akeZPhI
PPAIYRRpZxsW1z3FSIizv95iVS3z6J8nIr/KExmV01E8Jnu8+HMBhoy2TdmnaROHnqwmsQynqV9I
CeHfr4ZRD6Ul3trsGUyL9Lhno10vbhxJdURDpzd5CwPyeTmOpUxEcoES+E9ASh4EL+eV/80p/RfN
ciq3Q+hyBbIoM2vaieMYx3b+ktrohw4UAgbGlMlr/EQ8mNFDYTHrNlc7vzAlCT3sYOUjwJB4laLL
tchbOc2q9reV3W0/tEeY/kSKYygXnUytSZOh1KvFshukdUC3vNT7cotozGrqu29J4Hldtm1PRtmo
JnA+y0Bv11ViXVI2O/OQmK4XrIwG/zjPev0tsABStZOXZTdPlrKxXMmY1UIrd5223V0/Hs3Er81Q
rGc7Y+lxJu62Y1BX5SJ5JRloLnTGJFDqyvLYQxRkvBZCy1L7mWkKUoha+tCMcypqywdzzdfBIGUw
D7aSCST4jxdXGumrWoZb5La8g3ejr4FnoCgqX9d+MelrCH6jSr6psFv99Z69/4c63tU1SzNMz8Al
uErzUjoDYVzGefXx2UfuRBtl9DesAXKlgyPXFNy9FGRea2tsiHE1+DXzp/maaBoj3vce+zDuaCzJ
H3KaTuFgvGbu+S87KNFkw6RLbld5Xd93wkRhLhQiTuCieOt1TLL9JPekG2G2cxduZ54P0HKwZpYe
SOAlN6koo3T26rxYT7tCbGTber9Cq3e+fmzgC7bZHBYn4yWNmzk5myWJEVHjTFRshP+vTS6uJPG+
Gq/f2vn92cdLoOA3IjLaHIZfidTievBRXHN3/MgTgKVoRbAMQpRq1jTVpeyPRZb0fS/reZZ1oA5x
xccT56PHNb/w6ExzLPyjz67LYNh1en8UbGN3JONymsT6Lbe9bPGsv3xs5JEtbSyCL4INHOMkycqP
1ykrMCo/Hm4JbSDTZSct9uG6T9N4/XhUjMfJIylY0Ba3cxxsJ6JslxkdSxwN/XVUs2v/e+qNBbvi
lFqrOEoOJCnA8nJEIjxCrx+b3UvI1cmvTA78v5fzJc5LkVJTb4diol3iaAbX6BEAXFfvYvT0KwAx
bWBm5JdotQxz3D6iqXCXMZvvmnS5MDk8NH+D44l1Lchw+rAl8k64SfdeKk6mUwAG14RbnFUH82qC
e1rdGRSrO3NqKmnhq1Z7KsRFPiGwMWemHca/Rx70V4h8pmGTMZURZ5pqv036BOQ6yi+7VxzVNuV5
GcN78DS4Kpv839vqbVWwYLDufvFnD5fW5aNrpp7gbFpEZYpgPKrZ0+KSc6je4CN4eJBYzldcxOKS
frxaDF4+lXY/xOXj1fX9pxId0CbqIVV4e9Acvj+ePl6PRhHgonj/bT9d8wiBk/cf/9h8vP3HI3+L
4ooWU/7fv/73//y3/fhV6QWi4qtnqv9e/Pgl9fFx//d2ymRpHW6U/T+fzX18+I+f+e+TJDv7moRH
9t9H+t8fMfZj2jgXf5WhJcDc7x948pLTnDgs04NaLiJ0y+XjEXt/9L+nH48+Xvv/fg5RDtauq/j8
8frHZhtM+J6d/b9vlQ1z0mo3Pn28dBB2NIbLX/MiQJXzXpYc38hRfzz93+agINLy0DjaHw8x09dL
XLikzll0kQGw+KjnpCo23ddG6pv1vfiODGVaqyOZ22mhvHM86Gvlsrz0371AR/e4Qjjun6PBUrkh
SCrC099YiFTpYzh3kxnPERdHnQ1r9LzswdyyXrh7moOJK5jcnEOcMXMRdLFaWLkhYBVO21/mO787
Rg77ND+g39feCreX+L9yUJenEVIHePYnnn0HYhtrg0Fean5k1cwjipwrZk86sb+zWx4mCV8QWEHs
0xFW92P/VUKxL7308Fr/yH4U2XMS+K10+lfvBnbpd702WRiA/ffLZ0ZB6VazldSmpOOSnEdzpB2+
qOiTWBAuEoc+gVo9H3vUksLu5Tz0fblBPImC5cYMW6p89feqQNovSntbTrErow0mMJFFbawwlc24
qTjTv8inzeoXEvdhqaII+Gl4jqR7Dqn8t8RJw7k3lFg//1ob9N24gHjk0VLbOb7QQ4NVULgIDgkL
EDuIRdBYoIgZIKQFpNSzTSBlfuOR+u7Wp9UXr/2kt84MeV5DjCyeMyt/WUHHZsr1HzWsb96i92b1
N1UR4a4DHX9y2nrcZDiy77HENa5DM5qG67XLpCiug0E2gQAbBWLzTmv4NxV9cBrt5xHxrdchAJxR
pL95yKdcg/28W4k0UuTfimJRzVRQUpFVktrXXNQrIQGW5wdVf2Q8uGYGBW6DZBjKKZGsOkiQlta3
WVcMZi755JfvUfwqmDUWezNB1gqmh+eZ4TT3x19kHKdHFit5iU1+5dYR5Mjs9hIheEa4+uoxNV+z
eHXwOlagnVjLOyPqlNjYP+8TOUF6+uLhI1xRDkKus7ewAfvcNUfM4lZmtD/NofoJdmtreDiyG7LQ
PpG09FdAPuHBllfrMlTCZaa2sDcRSNdwFHkGQijB3SGB8cZAHcA/kDcQmr0jsIlKCl/22tsX5JgK
IBNgA0QNrqlJP9swn8tpL3ePIeLi13Tl3vlAoL4iTsRnngp1E0RhJeIKOHiCZNsj331ASUQqavye
0RQr/BGROqLG3BboQ3OOZFbMc1OpZEA6fcu/uUCxS/5rkqt50n1He0OrIwkf6wCFYXYeOU2+fPgB
0h82CTD6x9FVdLe8TZO56JB9Lepxin9szLfVHKdjNRLg/RUGLmhFdQTka+QQLiViTWoqQZxGCZBq
BsEqplnreWyG+kFUncltg4wl9k6q9TkJmWlGvEkBneu8rnMZ+/OGs4blzS4kGGQePlgIW3jyY0B7
3Nui6iUGM/N/vmfAlGcARrB3wOug6LPjn4CV7Eny3ZPq37q5+LIGh1cCyacdTxHX4odqh6TguIzw
+4VbwsYLxt8j6VsnEt0Acst6JEV2H7dxRP6Z6FILxDkTA08aut8NOae8VghsY+mM+zY2bj8ZKY+O
LmSq+3D7Q4jcXzABEYSx61oa7dYLmahu981OlTl4evbA5vA1PMGVg7sPqZbXwAKA4ZvRvsQe71uO
XstZBmsCCOQVp932V73SrR4KOn5aXPSnT+5SPWYKH8ezSfSuBNPnQwbFfZRRxY8E2MxwXNrvV9EW
6e2sXfCUDQYkrrAcHmXWpdGOWCaA8l2/b7aKjjGkObFklwU3oOg8bW5zoab7f5sQs3GJin+9HgGw
YEI0frHB+isDaKldpsebFIipJIRWGezADBYgxEEtQFun9TojOH8FoXR1mMO/4ENvJBJ0BOI6JtU7
mgy7xAznwkBZCQlHHsETebkMWyOy7JTuwmsN0eelX03pxM84oEGlIkVgk49h/WW2Im0ZQliQtvpq
HfOxHaQZEHPFtPZ2CmGo2E6xv/7cxTGes97ivXjl9cXcYF0JG7za5IqoRq3hUOVzQSo/W9iVRJMs
xUjalAzz743b36HvKjIB7AifgMc6EQAn7n9lGJ33NOr2aU+hhealM566IeXcWSDY5yAcSgouU66I
bpbhGiFdY45vJBzilhLx9Vjofexhagwbpx28HA+nG4oefJWnAapXi+SV2d/mHlOWjUvSwG7+DrEx
qQBukd0JRem5I4SbU5irmLrChJ1YQsyoFVdmgfeMMB6fNHbfPj4Bpm6tWv2hRBuKVnwKsnamnyF5
o3xUtKuInoojL5CszRgkdcKqTG2PbZAzEEORNxt/51g52y8F86rMW93zOF+XvahkuORPExDgwDzz
YiL1m0wFTrrYTnc3zd8mTUm3Q3xp5WrbBKpZA5w81EQiGGd2lbd6Cu5jDBYiB1JtcpuuGcz0hmFo
18MQH+1m7MWOLmx2KPVVgvTz01xgcYnsa3AMyM9RPWKJBXqwigTN/h2VDv5qYSDVdBJxlQkhKgnJ
q5UxAmz50t4cMuJnO0x/tmBQFb5iJS5xTcDgYdEvxoqwizeDGQut6xSYo2+WbBtKGGpn6DL7OVnN
dJ1NVtlF9WePHwdSUe6Xh++uvOqFFjdXFEPLkKlEGiuE2eYKWWbI/T0gBfi3iekqWHv6rGNw2H4P
n4JCurz0VkmfX3zijnKCvXoaEmpHTFv/KJPUhSc0t8xz1L9aE/FPig01o0P4jIyC+IRs/NTmYlnq
YP1u1l69JZSudzeS77jc9NuSr4D1ySjKov8XWsq/kdXqq688V/nvT5GM4/WShtMlstKdRwaNQWdD
u7kt+OcRds3V0pjC1VYn2Te+z8N7CBAqSQauukv3lKOTh3rDAk4AKSnpKT2Fod7qLNiOpwi7uUxo
zM9MAELueKOu8Fi76/FH4uyZ0dy+qHQcHvBMH4tT/I2w9QQJKkAcjf1bksVW0WqGNub+v2l5ogjx
3/T2C4LEfJ8oaloLQ7RyFMWF8jWukjUKG0rc2Q/mFVeXj/qGt9orhZm1IQHTcYR64G0Bdu7aZ5iR
G0wSkBcx9OQUqRSjHTAlwYl78cPfJF+bZLcRUnhD0MSkB8Htlx9hJB9pyOUjCSAX9nxx52Q+zhsV
rSMoK0370XpqTJ8tTbp4j9IzTNuTXbbXJE6Wx06NjxUksK2Se1gOHKtrn2RnZPfGDrfYLG5MA8Nu
4psJRweERODtBcWJq/BXtvjRuaDR3UWQESIXNem2ms7fV3th8JvKaB5B4vP4xt3wF9U6CKJZtjUT
PdKGia1jvkzPC/rY7cCWFRH/dK2yIcaC2+8MeoKLT5FsM9uPJXwU+mQxdQMSJC+EJEnp9zwruaJx
GwooIh4sMARN9iYlcVT527yeDsP6M6I852NkYc1yhlgVJsVm0jaCVFUn0ldnMyV7mfb7l1EHyTVC
Y6HkIaLMo+NFK3LDKjcT9SlgvJlTSMoS6ZZOpZyWMKpIOSDv+FRAHi9DPe91BuMt8OczJpJD9CO1
ED7s+JrHY+kjVj0nxd8g7u3ZRlCG5ygpl50A9G1U1SFYdqViArSQYxn1eew1Ybzeg8nbW75qv3zn
n9cDdBZx1x4mQUJ+hJBYz3Fe/Bi23t5N0gQjHZ8Hh7IIW3PgpNTnABcZFBUFdgdGa04+wtqR0+K2
7RcEp0H86DwhkJuYLiKkQwgTifPUnfvJoP05Z3u7iWKqt+mZUp09jE4rhE/cZ3+uemq8r4GDK5OZ
F7rrvvUi93sHVrwJCeIJce2W0/5ocNcM2eHA9CcTf+1l0jce6b0f6fanz0T6NaC/1c77pkjcfotz
m5+NOODDDT0W9Wm8jwINmCAWn7lw871fpuDVbm9qClGAQCzhPtJ8evAFkwRSfjchcPLCxxXyECPp
3bIHvtM3fBlypKZzPsxAtvPy0gPB/NuZyR4e2aFgJwivphFSo7mH81dBXrBJb8qMH2gTvW/meFha
kx1ZCdhYPAr/BbbXje/+aTByOpnjeFPjQm+wKPZXEx+Vd3jgGiuF/ZTE3/R85C8fG8h2JzqFf5WM
YN75LEMINSMVsDvKQMP+dvTU3bEe2NfY+pcxHH9skImhWls4NCNSaZlXzPdj7Tl4gWdqpIGwWyPx
IqMpqLxs3SANr/DYDxZVkiH7nKstPwMxKKhyvXkOj3pN2gLZxSYW0d5kqS/adeT0Fo1zs0z5cRUQ
ihsS+lHpfGievmdh5ySwm3UydsHeby8TciMbTEpNXX5Dd9RdigHhbaK2v0RvGp7RETdaCXdJQFgl
IXNtR41aLR+Ceh3DoQ1yyIrBdWKD+iQSgr1URSgt3XaG/kckxtYkqi9DkgC/92NRLV4/3Egunqcx
IqcRBgMU0L1KI/UN5jumSCxI6yjldYrW+VMk96WCP0LbkPVrI1ZqqnGHGRQkv5BF9c7JqPLOBeSC
vIG5fmw8sxWVctgxShL+wnfZpAjevFlc8Rdq5xUtAt9edpJ/F/3w10N585lFEaKSQp0RppLl3kcb
IKNQzTFxXu9btNbShHCOdTqc+TK4ynA9dNmx6lOiNgL5H8rdvjtor+O7x0/gPSftQvu5WzagQ03y
b8d83NkqEXuPNnN1GVEwRcQ3FGMXnBIFaUYv+LXHPvDvzrbLAk7c0SDXNU35S3is5sEtcU99L6/7
HoT1zqOkFZhCndgmv7YpLZEeGr/usxdgSLK5iTwE+PqcAgrRLSsVFImnZPhZhP90ZqOvhdyQ60vZ
d+mhH+piR79DV1dVj1Nsi9MziHWK6Y3C3zZGGpGByLQj3954QM1dAlIknHRruqRljjl6RgUG6kA3
LZac0LF/E+Oo6r4Io2rLNmCPJU9bMi3rmU4a0ZXC14/16vPsb76GCG/qPqnDZH+LUx6f12Utc39G
WCFECJkLgSO6LOAdOXICKwJviNosSUm8dIBde/xJY6RwJcxxsEclscbtupPeUsGfQPAdZZBlkKrt
KTMoLGSIrIMVTcuEUA5CeNC1jhBHv9dlZFZRTyT4qftmDkIgfQ+236KKjqnQlX0hTyreJYIG41op
5Ew71h8nK5SqnULofVL1lg9wP1WXxjL+t/ln9EfKCUp/0pPo2QsCe+m1d5I+ayYG4Sp00H/Sfr0b
7n133P0eQmghfB3WShy7K9URB2fp7U+HzYq78iZzC+SS10hTcRiaMFF1ELQiCkmD9f790hXV5Lhp
I/eNyhAwJbvohWPex7o2qdZY6rOhjAuqThHgFNm3Rm7CnZYIDfm0DxG5hCQDLIF8ndqqRcLN5ZLm
5UTHb3r1oNRC4wdJRZ5H7aByLn8wc+wX5U/d1O/ZdUjaIJiRHfdmUWcC4leYFMvJK0hY4q4tUdeb
nsMNYctFJssf6OF+l0d6LlGU3poNJhub5E/YZGm3DxFkLQ/VGqCgZgjHqCSpf+XJJEoXrf2rhri0
O/i1K9oLV88uI2je8qqnEXcZmAbEIVYv/oR74+KuPeyCGKwtF74HtR5Vclrfeb0HYc0uJDrtqPdW
HkFrIYEUjs4thYyugRx59nX0ihzyohKd9kdXa3VMCDu4rMU0vOJgOfQaDLiJr6MnK4IL6neshKu6
AcsiJG7CHFoPSonVOM7RLUYq58w3/lxki7wJQaH8zMY8sgyYM13cDUP4KF0/FU+MQAch0NYI1Unp
5uUNCMrgZI0QlhnnM747m9YxuvwwP4dmWEzRHT5HnMKVuZZZ7XFtHmt2vAVwyt4VqewShIzX8Sp3
cGrsuE3toP+p10PyDN70dCwXTLhLvKcTSjfbz3ULg4pS6VVzBHlvbOK+GJtQA74NMvg1soXB5RB/
ZpD2zinRV578K6Z5vCFil7dZQv9suCkhAjIDO1FU7pN8k3WIFmEb5/2vMBRPPf3QbSFk7yF8snlE
+XfFWV14fnoOxJhUroD/wiWbq2FR3nVOKIAsqoXVMYgYc5b/hc8LksUBX/qDYt22EItyj0JYUO4e
LT+gYVQUQORrtp33xWSXKViCKkgojk6u4YqOXDco8F+KI/ppMuq3xB+ni1PpgiB/0ITErmct6AqC
jlECHPki+n9BZuSLHyc70hC5aYSitEsHXJlZ4UpojgUINQKqBWojQ/S+sPLiPLHt+8IMuQ64rYoS
WTUYrW4MzYKKphIO4QE+nM+IYW1JhH0MPEAYxKB9in/3ASSaeFpwlLfkJLPNlmniWDnZIrokufeL
oUjso9PaQnLEemD3/Ooi/Hmxy1P0R/RS8z429QDL8anYx1OUIdIFhXaoY91HXQazZRrTy8BzWW57
IM+5l7KOQvZrbfzd3738qt1SoMC6kXMWPyRElsjDxPG8lyFIcE+JsMAZEM64kJn5GmX9dkGxT3bq
8NNKwn5ycQpDP9IKKRKFuR8vxfVjw7bkj4K2Bu2P6BbiBTnDL3rucxXfRhP9Aqb0fzMTvyS9Pz7G
XedtMJJ7ZjeK9dUGDSQh24oe/AeNMxzguWfgmukJegv5Sgv5OLbVlQwiGFXv9tgyvC2IswIwMXoJ
BT/raWaXwR/MWbjkJRKZ60KNoXVMGvZehSVjHGzJkPP4vQCurSb/2jMDcL5FU+emeKp44TnggOgz
zcSJr/PPUM7Tm4Ik1MEuQ8LDRvrBV/MGULWfnc8RJRDsiwBG2sclOtvCLCWK4E2fTaBpapwxkba4
shME0z1HwV73ezku4XgxPlbR1fXghjpBwXyeQAUOtDCCgV40bmhwQ2SufQ+yN8IN+cs8Slt5Tvnt
vhc/MgTXKj8dUBx36B6gurVWTC4nHcro6vYhKQtwsYVCfptwWwQIDVvQmgic5pD+vTgCrIOZ6vgA
L2afPFpCGsvuaTF1syxAddAvxzHuXx+sZ2lLizVsYo2rfFYhFJpR9Hfuu5Pv4uLCgKXPlqFlnqoZ
eaeQPUbLvJMbWnwO8HKPvu4yE8jb7OOjQGVwpOhPhEPAOg6fEhaUm8+HikGVvTuVc1QlfkzrKDjU
eRHL1uaoeNW535eog1hImuk3hmvlmQe7AVQYzwIJqieuvAffjT2v6TQ/imHArQ/UyO4brssxcsEl
4RJhE9fjRgjIwo3TY1zitZpZQm5Tr3B47BJ2RjBMK+HT6mPw5xZsMvMUK+UShmesHQ+yAyr6Wj3L
gT5FIUTfI7Y186i94mBmOIUWDHKl/JOa1jtUeV0ZbdJPfQpzYjThJymAUfoN4SM7wRmyJPglqBLP
JJsbK3X8PYfQUqEKhI+EfkcjNI+++Pa02L+LWuI3HfnLc06XNzEjPwU+HFZTNLAvCRv/yjS1f6WE
vpfsRXkY5GETD1SYHPvNeml0nkM33fMw7o7Cqe9YBgUyiCFtplSOlzUyUMfXPXuMEzIl/SB55exa
D4FmZw9Wek/Ct5kUryM/cBL5YOe7jFSFgvSOyCKPHovB+tHTJXmy6rDViBsRSEh5T/p9s/ucoS1r
3HPsthD6gB9/PpAaL8ftC3pyxTvHxW01Nva8q8idZqf+cTXpKqeZTkH6ESiKd/e8FcHwML7PYTe8
ih7MF9JNdk2gc9Y5ygyQ70dahb4YG29YsxrUOjnr2RCUANBtOxRwv0GWlgLUIgcncQ+FBaQu3Dz0
eIfpR5AET2gnex1qm2MbGoTcMO5/ZMGRAJHL5UzkNtQLMVNzhFOKBtU4n2J0nT5N/PincH6T3Iq3
uFijkwaPLidcy4dv/afNYfzQbEJm9djQfySTvHPzHmyJ8xXW6tFfuVFwWQ5yQ6FxeoTBbTAwt+US
cQRIipeFDfJpS6W5TBZnHRpD8zVPe/9uYzE/wpmdfS0/RYkH+RnNnHNuDADNklRhBsQVFEP02e3F
K8T+5WLzsY5RESh3OfSfkBH+Em/5VvqTnq467dlLOOOCl1FB6iwiUMig5t0LKiH+hSjoujHkN3i0
4FjKnngR7O1Kl/BFuo9ScFLrlaU3lw7zY/X9e4CZUc+rDBv2vop4DNJtOhAk75Bt2mBgJeyQ0AXX
5XXwpP9SjJc57VC2Yr8nyFNV6vz5ebbPcmHsxlAuAPGcgm8IJqLAHZgFXbBj+wq+aLd7r+L8e0QX
CfcHi2IA+QfoMIO7NAwVNMv1p3AU0cVUxRcezD/ACPxraLAmFCRqfNTBs22X1wV5chwVDKeJ2fF5
c9GbzIH14mCEQvK+yWFQ4ZYb6wvF+v2MGsRLEJEyxT1CLjGdkSKiAbnavciqRaNvNCdbCcq64azF
ZljAt71j205sXTtrp+Csi4S+9gjGpb5uMszFikf2uKYQME57OmyQZPhl81ALVEU0fDEEsuvA5/6G
oy7QYNQQoONJ/GA9gAhu1kFeuFjDboY7+gXeNmJ6L1D20nh6CjkCd3y5qDxTX/j6zp5xdwFjTx5q
Q/d48D/3MDT/yUhjCcyS53SF0mdnH+/a59EDrtDLtAEM5Uu/NzvuElXLlT/kYQnwEyi6nJR/96H1
l8O0floQUMZ+FeTrqCHv6Bx9sW03bRzsERhtUP0f9s5sN24s27ZfRIM9N4GLAxxG3ykUoV4vhCxL
7PueX38H5VRZdjptGHVfLpBAoQCnHaIigtx77bnmHMugCG2TNj/kUVzOE1yZ9KFsFuHQcC/LxHwS
npmtfLO9UiXvWPoYbpso7VeuWXFoc7lMqccnYxBiR58+oxPchegksbtOY8A/rT60p450SUfu4N4s
ET6jKDgppA1plKimwzNJysPdkP5bmpVqfmnIKZjuIsrQpt7+LwTBf6F7unyAxjT35hL9oPtYL8qd
GXPDK1Eq39dl22BS88VO67D3NZVvrWKpTQ55EOLdNozmxufmRuyNbjFThSvkQ45Uo2dt8spTHLuz
888DLaIhUOS9H4I+yIVtbFVtbDjImfg7K1r1WqI9C6xCNxUSDtWAUcyg15Z4Krr+PAxmtpNq96VH
DjoHbjgu8xSjgv2mV6V4TNPc1+jdIF+ZZZXsxfBqWVLfzzUNZydQGWUG4a5ZFfWUOghC7cYYO38W
qK22rdxWuykU+a8/mjn7HbS4YVnGbbOWM2zhcdonm6EbCAsk3uPQaMFNnJ/t3M5uW9X1zp3W4bkI
w5Pd+dIR8MEq991rVJ1hX2m2jz3Ptk5R6vq3ylsvounzbeumM5vc57Ufj/vaNizklGi4jjKUNkJm
uzLGhMExR9t1FpEozy6L+9GlhUW4IN+SzWxXZYnmYONmAyzQ2Muo4QhtYMJOJ3v5aJT9qko6Qb4k
Ti+MgRxkqtHJHbCaL1rAgku6uzgqjSq7ULPkFalBrApVxsGgdtqGipxHgmLD6RMa/O4gscxQ6c7k
uh+Xjc1Zltp6OJgU/LM861rqO0lZ24peH9uRI28eeertQO+hbkRz5hd7HcrSno/YQxZN5HfrFBua
U9aRu8f2XS/oatJgdUvzGOEoFtGsbht313oUvEnVvPJ1IhB6VcWN1GjLNImmrVjRLjnp6pccKxsi
P8YukYx+UfdZtNDvBiOJrgtPKq+p3zxHlmJ/ZeTUR13KGbsb6/HC6BHK6sG6azS5ucFiyxHXSoYT
rR3lYnSzeRNZ4YEIh0EHcngszVo5vP2f1Co0e8hAol/w32iTrcvCblciGHd8V/EWt55ydo1t0DTR
Ka9cbecmPWuawrHGtLTrUbmqbUm9U57jqrkQve3d+pLqHSGK3PWmnc9jw8rIt/ndsSmr7piIcU8C
1rW3IG9C3RnRDZbpQIk6EnylTZzKy6ooqzeiwU6ORnZlrapnRh6ol40eP4U23ss+zLU7fFI+Jrur
uuVEEpqKt8y0tjz4VXq09FY6cmDABOS3aDxjWO4UT9pWOd880JQ7c1Satd5aIBSt9oGThbIhOKbt
kOy8dd8rydLuycyU8ZgubHygCCeRbvYcVX1roXpuMc/IzpE2K299VPEZze6nWFf9m7G5NGs/WRD8
7xZj1by0eX0eckXMez3rDpAqtm2mGcDjvBvPLuQdIH/dMQZpnLNPiFWn6u3XwOVfDNHLr5n6ryzM
54z2VOD59Q9//J/rLOF//2d6zX/+zRtN89ufDpAJswrL0y//1eolm1is1Y//6LufzNX/+u0miul3
f1j8iDR9Z3r+lHf6D3/5z0RTgp0vb1d4Q5rKhGxB43yIJ09X+Y5quooZa1z9/FXfuKZElaH/64DE
bQtgxTeyqcL4S6b4WDZpZhB9f1FNGfyiQgYEmAQikJ6vTc64+otqan6ypjGKNuPZTAPAn/UnVFNz
Cst+/cLfqKa4rcAngLaf8NfTUKgpbPuBbmEkoZsgUI6r1jTT6mzh/Hiiyy9bT0TRDM5+iTZK89Ar
z3lf7nXaCXkaY9HxSNGEWXeU2tBe9EW+Gi3jcezGEzxFPM+2tmqqiOqN+KXj+iJxJMV71sbsQirD
pSdLM0mJFnLUXqhRdkNTaY0ydrYsbd5rwVVhe6farXZYYOY1xiDFroFxKbtO108RvblTwMpmPxJp
o7QR8G/melpWodOGPuix0Z4Sfx0//LOFq3DAImu8qmj6jorU05kJ6knRq8EXY9gXcjXcxhjwwodO
cdUbVydzaIugWdlKGC38nl5r3odAAPp4MZD9vg/8kXidyq/YLd/um//Xj9n/hw8QD9V/iKF/f4CC
GBRcUNU/eYamp/HpKwJYZWYZ02EB+TKZEJ4lyfx3OrD6ybbgIYLox9WjQLv89hzZn6aZK5aAewtM
05wIPO/PkT0NnoUTYyoyEDYCSn/yHKnWD2QA/Q3zYwuVQbfgzujrfv8gpdzPfVE28VoSYZABlJJV
dh4jzO6iJjXWqbBRwYoOOO3CiosDZn7lElPaUp9iVUpQob6U+zIKrm3ad4X4nBnGnWTRi+60YFUX
lK+ahJAJMlVV97oeLw3tSVclh4OSkwTWlHNY+QpFA3YbK0Sk6uPj6OYbCW1IuOnBp+oMY6IjEYHP
UjwEgyDKoD3qSbFKgKQNSfBApBwBE2ZX2WCRrz4nobmp8LXYRjqTg2ZpuTb4suZSl7xDbDUO1IUL
XBqgssJFL8ubsLMpxuBLmsR30mxZSbgxUYLScth7eeOMpnEa42gzrRddpFwKaFxW3NItSC8tTaFh
STy33Gpu6JhTgoj+uDkUtOPceU+DCaapY+NKEbn2DHJ0HZV8Opa/GRTcZmN+VGR5bkjRsulxgsrF
3qtMiprCOkTaMCMRgeu2WNPzIriS1w5dveexVE6KNDyrFmKbhbjf8qXVzbDRvObcVzT429DdQxq7
JSd9jI1wW01mq7I7mkJMsvJl72PB7+2Vixesc/NVavkRmflmX9R8bSUtIEmZjW1OAnhYEcZ8SET9
KoPVUMrhnA0T+jm0VUcxYG4QWMXYaEZgq6zwMhPjHJvVwg8k+hl+jDtZzrcWoFhE9ztOp3jj1bWt
1+cQmpdT1yPdUC24TkOSa2a/yyw6fFmwGE3MEUk4zALLREzKYox+1ogxruezaH0EenVnuPqlV0gb
lxwyG1LKT/PmZdRvFKNEYbUvfNopZhdcezjuusZYie4tUSLNMJZI0Cpzek46RazLkaFdqlYzE2aG
DzW9UIZgmSqWU/fxLerebW/nS4MgkKan80LXcer5a1F2O5FgyoNVNIme0dbWqju3xfsZEBjJt75t
kzpTlpkEnVJT9+ZImNmCoIsppvIlAHrc2IFuodykePIaln9kMM8rn7KUS0Q9zQsD01Q2k9XPLY2F
GV3V/TgFAyA/K3H2YMPBtgKpmpujsfE1D3N2ZK3p3r/kmLHbUsJnXWNQ7jh50msW0dLo7SNGjKXK
AcrCaNeaNHGmEIVduByutODFyoOHyqbNQb/JzqHiqP693BZHyIRI4TkWDXWmEVAF0NrMTDvLMscz
03rfyParGsXmHTEF5eT1obGWO/qCMhbhpVK5JetI/vnfzeetetNY8v9583Gehr9vO9NL3rcd45Mm
dJn6TNc1JjtpFGLv247xybYp3Zg8wahc422i9TuUXmZvgbvEtqSajJSZCDXfth17wg/Z/FST7UL/
o23nBxQK0FIAz7IBm5bikitO2JIP1Vucqak9THZlX8Y8hBls0DZ5A7lYc69w6aw+fDR/HQM+IvB5
0r+vFicGvmxODF7VlKGXih+u1wF/qpim06/dZkzLuSJIgT64qu0/ZtmQBydVCjTvChIBTqAM9Ivt
RFlgNSSgSw2DVdbqcUbirE5PQG0BoGBSIuUb+bh0MAobGGfRh8RRGvz73MopMwPAAZ6C/iFSGH5N
T2iF2PYNPYxkFiZmvcjAttNQSpaJkDifYryVphy3VmKMMKwg3GJ3lwVZ9tbUl32M/3Ldu7VyM4oU
H5doiQYASKgoMPHGboRS4MTVcRggQYSRot2buYunOClCDL7eEOzEAEiiDq1xU1Z+cs4Kt1sYpZw/
j4kXbRSOe0QGhoOi0a6RvZdGc7e+THA+1RLSvoQnnC4YLsjMO5XdnlzfeG6KYsMhWiBo096uzMZi
sdBfMP3u+9xfBEWo7WyLbpzFVIBFIpsXcXpTFhm2ZKt4kQ1PW2WE982+tZdFpa5FCAIv6RG5+rqO
Vknctpva1F/kMNlItb5qG7QMPWg/J1ibVAM3Z1TU2aJNxWdfy53cl9xF0UTq5J+7iHIEg8KC+Jvn
5D9bNnu36fHmISs5PrLRhla84hQl6n+ha4eq95eWPB67CMpjNhwaHSNei1+Z796ao8Y9xNiGcKGa
ytryxUVfT8SvviIem/Wc3pvsevBCrA/tWG4I7Z9x1DaBY5VuQCA4TU5K3/oUCOlA7hmXNlkJyQnA
D28JyqCFVQe9UVgq/10cvy6OPOD/vDj+b8xo8ebpJwskL3tfINVPsk7Ny1AOUFDYnT+cbaeSHegt
iCYdSjnV9nd1OfW6Na2bqqySi/i4QE6cPNZcXQXdy/r5R3X5NOv44wGXulxVQVVZnOOh2KrWBBP7
sERSG7WxCOpgnfs6mlnSYmGu6d4YpebNgAIvpRjTi9889G16iTtNoTet9fMhDG472s2OLXcrT872
inChXYqbWiLTMlbK1nRpSfkg7Cr5UZUaqrEAu3ILksQ6NOlI475vsHdKT64kbsnTbotIIAgH6iZz
sdgkoGIc4Zok2t2+zWTIAKrFQ9QFAt9nkVwBq7j0AvClLo6bdZy1Z59Y/J6u/XOkyS5aI92kIf6i
AVvSUeMRNNMHAPwQa2HZJnqzR3zNHT+yiTWYSuz4CiU7HrZwimbMwhp+han0xAw0wNd5emtkoedg
Wl9alnpVTPk6zU6XKiveKikJbnBHUdqWQbiXlOKRKEawCG0auDklelHamywzDp0ioNipe4189EJP
DLDGTfxkSdRNfeazgHC0W/Wdb9Bosb9YFr92pdB28Wv83T4JlJmtDUeW4at6NPAmago5nXCUnRBE
IwZ8lEjd7W5lHJaeqs7y9hku5kXhZ3cV7JbhSfYVwzHzehN64YGvbakOVJRN7FH9DivJxJpiYnod
sqxwIsle+AZfRYrfS8mhvifJtg6SmTtJxJV2E6TBKy2JZNP01pzUzAZUzDJBia5CT3c6anIyrjXM
SdM4pm10B5thLcfmuuQggL1DgjqEhy8YTvTAtrpUQr5WwM9Y5QPo4p0qj/dtKpkzBeey42bZuQjj
3ZBSpMYZtpE8DhQHT9jGzaprc4g/85yd8VBvsh5WVhVZ26x0H0LdP+NCu0TApegs4H6W/V7XwJX6
9bBzc75SQrzBnFX0GNVgTlx/nML+siOU9syHehfLLimkCk9YrPU3fkh+zA0EArb8IuXo10mtrkmZ
Asewq2d7LF5rVT7B0+/nEc2jmWoOT21s78Iq1I6R2VrGg1L6uDDTxvJf5QHf/Ew14pfRU7ABR4M1
5hwajNeSxgUxMY0kFvJlIe0Mn+4RBumQw0ey8eiFqFF/yMnymVmEWaUHaKauXWbslJ6Ffymd6Z6k
OvQ1m1kjmwtBDlKiEzHNmJkVkLyk0d4Cs7mwmmIr2flerdtbYmg4RYCztPTD6ZnG5wHf+qJK+QHW
WN1W1Dc8WVmI9wNrXaQAO6yMBSFfzuYcPzUhDmnYL+UQkFIvLuFk3HoSndnIuPOqeJ0P4TIvmzPt
8/DfTYgDOfrqVFP/8yY0e4r9rEl/sgnxsvdNSEfmUVEvZeY04o2fFKBvVfrEAodJCtWPHWCiFX6r
0k0Z6VOgvCoqDZ3/7EHTTEgMAPbXGWOTMPuuI38nlnsv2c+q5ukHfb8FUTVr0zkBBWqCk09//2EL
QgP15YY897pK1WIm58qysaBy6MG47b1oKsa6lR2RnhiaYSmbAqyz6e5qO+8cJsAT+sSAQ+NZpdOU
GrvGC56TMD+TlQVcIAitxXIKLLT6YosEbyRxqlnRZvG8ShLs+ym0IcZmtIT/QYFFucLQEEJLMrZg
fPrdMbfhTvghIJkkwO9gcx7tXeBtHQakWaUoxby30sX0lNHMlMflGGUSNhx5LaJqmPVlSLY0Korl
qEgdkJQWldUiqyxBrnR6m/QILuhLKfGTJd2tPZaEi1GAPCmwcEBrru/yEcrpoOONVBRP+4KJdj+m
6qVnxxVkHIAx2MOv4LIdOQv0GyKTVzaAL63EGaN4U+RCS6yt2iryylSBM/R4TWYKCdnEMbUefkuh
ezMTSoUj2vgaMl6E4oDFPx3TC18K7jPNu0uyLph7Qo7AxRSpfujUxLcXlW5xEpdvRCOeosG40NyA
fIvw8VSY+k2YtRutVMRMM8Oo+RwJT2R036g1rgbwlDdmhhASkWFpxn9l4r/WAZ6Lf14HmE7UPZVf
frIO8LL3dYABchYnCuiwoLqp+D4Uo/Inpi+oqkFFSq36odViftKMiaKqqYrgFK2wQLyf1TnhT+d4
oYPX15kUIv5kHZiWtY/LAIIvLR1GkYIeBunN8/r9MuBZXhHZiVJPNmXVxCRf0O2olCw8DFkuvth6
2F4YTYZJAa02XhSxvmVPfNEUY6X0iolTqIoHA6BejnzWSJm755Y84ZtvdaKPZjWXJfss5fAzUxm9
TZhPWqdIsHDGKK6c3vB6MO4tfr6uGLXmidZIRZqgJg4KtwUY5JZKrqzvNRA7iwDO7cZsvR6CZabn
16lhR1tFKUv1nJuh1O3+PWB93dt+2Tt0nqKX8id3NC96v6PfjleMrYM5rJvyd/qT+omKjzaBRoOQ
oXqCjsS3nY2bVjUFEhS6ECDw/9zT09bGDBaORey7HIss7U/uaZsH6uM9rcPDpRBEH0PQEhzap67I
h63NdQM/VIoxWY+SGFd6ydCvRQtKCMK3VYBEI1IOothMH3QCutIiNbvM3qYF8A2ll+6xcc1GvdnQ
3sCenVvg2KAUGEq70ZVUmam5GjhQr9cawQozrO8YSIDMSx5EScI1jv+j1iqPEiGGWRzmG99Wl0bQ
YwlIu8YhlOnNG7sOgJ+Mz0XJuh0Pw7qq4UHyHEUzzS4O/PMLtase5GlkRm40t0wuPBmVv5SD4IuQ
PHyZxdYTw8psQdWF8Xis5W4TuOU20MrHpvEuU5JqGAX3pmYsxhBlhOPmZc2WlVXNXYyTMm6wbScj
4ybiIL01I/ciKL1tZqbrxqjviK32Mz2Tielk/UkA3dliKt15zLrauzVbl9IxtqTwcm/el0Acab42
Dp8LCj0eYFoWakGKLDadIIWTwfkx6gzwm9QQdfmoBXFdHpTqhbVihPvZxe0VZ3XjplFcq5/9+wh/
fYTZK361LT19ec1+ui/xuo9PMbUmfX5Vm8D8PCbv9SlPMV13OP3EAdFBvq9P2Sym/4YMotPZ5FXv
O5P9yWKIJQKyjeRq8Q/+5CnW37j3H1wAU/NS456waJDqqma/NTc/PMZep5RKE2XhOorEHSdWDtll
fmrzDK1D8wSR1iFYNz3DuGQj6We10ExlIRlGT2g0or/nMT/LwAaODEkqe+Bw719btegu876PX9nP
kOok7OtOU1RnUGgLrLM7PbiDJ+xp1aNEMYWlCiRd5i6I6QA4k85Z2MxxzTqSdvJMaRlVFHfGeDHW
ylqrpmbedJZngSiLZAO3h/wNQNMEX1ZyE/ePpcXpFyNV1tYbub3oZdzx5RXbIcqIMqdH5hhUkN4Q
QW8Fjjs8BETBxpCMX4x7oVwIUst5zuxCVV8gbhIsUOdhZZtOkatXCoDORdnq1bLvBKyifFH1zQUp
tnWOAdnFsy161NFj0NnEwOAOKNYR2i+ytHQjMXSgk9NFiu8VjpHqpHWDJ/8uHOOZLj1h6mfd03dh
DLewJZUBRClQlclzOdPGaiPw8dlgasIYkJiSXwn429TB6xI9VmmY3edKW6W+zWhFWmB3qqm72oIo
h2bQjKSr3ZOpP5t+47huOUf4gPCo7qAoJz4VvVbf4y1dyS1tyba4UVs+k54PAU/1TKmqjZfJC7Xc
ygNsodZfeMKfEblfKZJ9GBgcUJUECZJ21ZjWkdjuNs5E6shWcG1K8K3cbUnQSkjEAwXDF7MNQXaS
CZseZimzQxytEgv2LAjDw9Lq6NjpcHhkODpjPUt8a1fr4cpK82ugPoRr7J0orv3wFCfxegjoeDBG
riFzpBLb66sQzI4+HQPmGgwAa0z2rWYAQ7FBH0iOGaSfc6yHJLoqJxQG4/aiAfcIvd94ysZ6kv2K
yH1njdmhl71lFcdXJsxkFWSGYBADRx7mnNF6Pnvo4SUe1MZaig7UAaI5vKc+gvjxWBQPIrIdGzSI
jLjUiEPBmBh40zgCH/0uRYpDDErDtRZcagneM+68PDmji3BHRfPUvB4ZuVNA5vDV+yjbNvYNO9xF
6g5zmgTcUzCnpNu62vdkxoPbobxMMYLlUTDPjfsUkb3rLrD6Oa6+04qbunyNis8yiIs0uPGBSPjh
RVgcc4kuwjYmny7cB0zIM7e9rGVGDbX9vJZex26X48OWhoWGhsn00OkSTXUfw06M+mksVHqikdok
wJOylnjIc2Fv2JgduSjnRZ9uw6ifmTysrdttdE5mhBL2So1fZ1z29UMa+Y5UZQzRSahSN4O+zwIY
puCVvD6fmt88CgsGBGIfbjZxL10ShyOdjTooUAmTOriM6nyVgV6GMoJLgQBYOamJKJLQERAYGfN4
WQXJhZffkl5wZO1zbrXzOrHAZ+07+86VHmpD2gxBcerVL3Yjz5gDBPjpi2SXW6Px55FsrQlA7UqL
kVmXUkXCDr5IESuwIi67igSvVu28/kGSEIWxHQjFZ8df9Gm6a9pbX1b2XVWyjPVAuNW91eE8ppOU
opTmKKaisgBc1rcp4UZ6/zfQ42Z+F9NLqh9DQ13kRnZmcuvJ8O2NX9Qv46TAdjgOXHIjTlyKVZkk
3sK0lipKLdguJFtVvjIUaalPYq6Fqgstul8xzWNOongtZcOsCzocyRXu83HlSv1eAYDqhPqADmHW
x8y6t6mFskk6bhFsA4bFJC4jPpNxXeMNbmFHOKByTmZ63yemY2t3ug23rs9vwQevuOGWNW5nM8LH
a+G95nbXSgummv5FRbkmVNmhgBD30Wh+Q8e/89riS2FDp2hzLC7RnI7fEr4Z6YD00OveRovLfyuV
vw7QVOe/qlRe2p8foHnZe6Eif5pm99DHQMjkrDoNqX4vVORPwNkN5m58MzG+uxXFJwvnFaOdBUdb
iqZvxw2MjPRf6BWjyTEh6g9dVopBDfXxvIFdkSY3c+Bpe9ORp+X9/XmDITVhGePIxWbUnQ3QKTtT
l6oVDM/ixUp7sHj46a2TT+ihZFlRaP1KJal8nPtt1C1IYjMAyxMk9hxF98GBytBen2Vfixawkq87
nwYiOZoWg/y6xD9OujuwLsn0qdQl9QPrEFaOKjIOIm/hjUd6IF4D0kNHO+MZDWNsQbPSsDpIVJYH
4lsdAaWxiiVDv62q3GbcoBTG9XVjpgF2Rhu7d9QtzbS/jL1iYaSZ4uCcjhjly7SvLohPPTx0Nykv
fLoCdKMy84RzheG+2qy0/KMGtMYbvacYPzTIYmM1gretkureTOVrQQJ1XZZ0viJ3bmbuqg6Yl1EY
J9ku9n3PDtSm1SVY9z3zQe89K32qPVAZUbVxAbmVkUcUE/RamB17F7FQNoo7m7LQ6eqOjgg7SzL2
KxMPjZ9ZTNUU1ww8JCdQXsWRdy/3wFtsj/pMswDfG4MFe7p+DghWk45vOSZhKgLR4HSScieV1EtQ
au+1OpqZRZrPBgDajJR+bix5gWR/GUOmr+Nqlxn9o+y6V5lgZgnjZepaFsuqh8jvtXepR17fzPRr
ZhedPCOCBe6u1cx/6q1sO1btGsbCJg/xH/kZ3Wu/+UKX65BVxW1WdItSM1eY3xgRQnDe1hO61Mwb
xz57dCuSf3p9YXnKAV89CyWHWVxoKtbumk+GDAKptVHNSfCmZdO8mlnxQPwpKxatX3f+NYgrzmos
r9aiSGy85/+2Br6uaFM3959XtPVL+qX8iX9netW3BU0w+BantCIMg2GwHxa0yXptoltMo2ll/o5V
631BMxH+OFpxJDMU3XwbZPZ+8jI/qQZmU1oKMisli+SfnLx+PHihCcoK5lOTXAuLGV6h79ezoVJA
IxT5sEpCwggzUnn+NhJ65llYLAKG1eWx7+JdLGbQDpJtL1kydONIFo8umPxsK7V6S0PLbn3vFDWG
Jx711tU8p0oJERQOHQEhvkiTeVloQbdnEGO0qN/8zUMYreNUwkjRelR7m0B4qrwgVeDoZCP8pRbU
HvjeLM30Qw9Bxlr5OtPGkRzGINi8fW3/Op+nnfCf79+Z/1SS265fuF1/yBxML3y/haf7FBsE8vHf
RG31k8Z9g2at4LIgYvBNAmTjpbcGu0OdJiCbvPSbeDAlCGzKXwzTKIvs6X9yC6t/k7UxaqAa6QLB
HRHQQD//KAEGjSwA0aXqSm312rhRe9GemcQWjA+WnZZ3LYB8O5/B1wKAW7paOJcEEARgeZI4tXAy
x0Xuc0YCApmka1xCsnCG0LD3de6tgjoh2WVpJHpTPWP6ViR2slAvJZ+ZvA3WaWhH2efUK6MR5UH4
RzVSS5OTeypk9evMtX9vUv2XGjUAqyb5HDz9/R6dXvd+j05atGroBocxmbaLSt32Xjeqn1Cn6cmK
N+Fr+psPKjXd0GkmucpiChP52y1qUzZOghnNGlmmrrT/6BZV/yZTT78C4gFTQHUk7x/nPhalpRNW
jpK1kCDPYnvuZ55J5xSHHOqU/TmTGOAFWnPtFTgebCIxjhVHOPg66Bxe9iApnFLNAD7UIIJqRgzm
CABUBig1LuPJVdFgr2j6OJhLk+Mi9hlKNnkwwCfslRhTdCIrnPeVS+jz58zyHnkYtl3oY6vD0IHF
fhohkd3iozqqRYKvxYAcCsx56WduyKEZD3kZdbB2JaMFIK3FK1Er/c4KmsOgJYjkZo7L3ERXs6ca
BGq9Yialo6YNlKQUrGNYqBe+DaNeb8MvUuEdNSMlKKgxbc3EMzMbmRM5EwUZ47xKo1mI03JugcVd
cMB2FyoV6EECyDuL3JG3U3ZZ/UAmLQtPErlcAO3yi/4mNqeal14yjtpu92xSWTNnE73yFO0pMN0T
AD7mglvBsfDU+1gefOjvE/V0bBZuwdiSiPN2RSOaHxI7lI5nOEa3SefRZQ4exkJdgYCNGNOKWu5l
5jKTLXnWmEbv6H721OftUzyCtPR9hhwkEb6aQjAFeqqmo1o7Jwrt9NTWnqRCX2cdM7mLwTv0kvyY
+8GXicXZqn1PPp8saSzGszWCuXKt5I5s7oacvDYRqq6J3F/lIltkEujkur1UkuRAu2FZ8NsyMMqn
wzEy51RGCOI0DFD9hTZE7UReXeHDCS8ahcfGdT97qcIh2e2eAcIe3IgTeFQB6B99ifRxw2ySJndf
SzxWs1Qk1sz1+jviCDuCo+WiNSJy6mk7zurYuvAGoMZWrD97Y0P2yQqAsYeYZhpXXDFcbNm7wl91
QYpU24Lmri0FLc42jnIafA4iy+M2HKh7bVAYTb0Lwuo4QFCCa+Bu466QsxWTXaJpPoBtI2i4cOQN
mendw5AaN22ntIRSaeCrQX9n9sr9qDYXXZstuqA9m2N7yFyeoIhZC6Cy4F1V1qmq4MqlkxaM9f2Z
WbXPltztSyW56vvoNh/5Ocym5TkrGIQQ2RZphe7UEkZh9Aio7KhAhCaywiQKxjiUEJz7wWRS4pi+
WH6zZFy1xsQDFD07WeLhyuZjk4frglyN4iojrVXx1+zjf/cFnTHFvyhemGrZVD/ZFXjVt11BMW0V
JWGqRJhTyrL8bVewoB7iJLQQB+hdUp68F9/2J5l/bgqd5JYp6Ed92xbEJ3jgU83OIq4gc/+RN/Tv
m4LKWA4a+3RIQe5MO9PHwqUSzEAyRBSux6pmMrR9CBPmmeCN0QFMffhoLr92Ur5zzlOIfdQtOC5w
LcEIeDZJ3pNKeffxWnLjSpxrAeaSyKGPr87U8LbUv8BCt0csOKcUKqsSXwk9nv3mylP59X1r57sr
a3w9H6/M6sNsQiUI1yCr12F7ktt9AdxUhUAlV7njdddldyO8EaLUUWkPhTh7nB9+/Uv87neYPp0P
7aVMgfIEaD1cN5p5bof8nLnqb+bBT8LPr94m99PHS5S22xW55IU0Qhiq2L1GEAEr9ULC6Kgl51+/
nenG+NW1qFs+XiuXxzpLCp8WdDCco6rdenn/lAbia8FJgvrnxrGff2o8PMhmIGZ+nKbdWHqH9Yq3
5JqCDkEDv0j96rv4x0u89ef//la+XeOHZ8BQ6qGVUnjIGKagWclw8XKnKq8TcaviMiU+D0rPdIb8
VjYef/0p/u7tTY/nh5siYZWW/IpBBcIq7qn+N4OavPz6Er99ez/IhT3DotqcbN8aosrRT6M9jRbf
YUdkAJd1I0nyZ04dCv5gE93dXpkTWeTXv8LP7ksYXCYfMR4OdaqZP77LGpd2nYMCWaeDeOlw48hl
dMBi44HcKR6jUP/Np/qzRc3CNc+5kLYwmdfvr1fgpJV0ZhyuLXgWTgTtNS8kZ4K3R4H5+c/f28dr
/fANdgz+KxvG4a4Z/3oBXnsb69YmchnjF+SbfhDH/+5yP3yZWVi4scU0h7Vvd9fEzHmyES0YAGnN
4WStmdi2+PUFf/dZTiffD3do60qJIbu8v4rJE8wjJL4D0/6LSjDp1xdSpkX4x8fwwydp/rhIywyA
1zvYrNCXR/Gqpq8xuZwkGVY5Nkm9lGaySZWX/ndfoPnDuix1ccSxjU9U61+J6zsRg1dieP/Rg6da
v3mP0433q7eofv9hSsCQUEh5i4Z81xp49d1j27m/edp+d5FpzfnwjQWFp7M6840Rq6D1z3Rw+anK
m9Wvv67fXeXH+74ocvC3XCU2N9KoOaO3ocr5zef107Xr4z3xw+0eGQEOB5OraKVYu2O2rGNGA2Fq
ku0Rkdr/v6Sdx3IkR9JunyjNUottpSgtoNHYpDVUaq3z6e8p3rG/wSIGZcZZDYdNMioiIzzcPdzP
R/eu5rZyi0xRDuvL2P88ySub/5wd/bqUYjbT/XiepGKmXmkItymlwKFefGjEVVc+m3S2gj9sDuNi
/0thWpoSUMlVdKasF9WrnCsoWGq3ZmXt68Z4mcboBRWMZNH10X05F3DE6nVY1t7Pk7626JeFMEkS
SEIVMWtVuEtS2J3Jcz7+MiUQ1u3CMKiGUfSVENYOsgZXFuEij/aXi/jle58Tdl8XHIkJ7LnA0HL0
UTVvSohz1t3X2lNffXJhXBntu3vp62jnL/LlpNADOCFTPVDVk3waps67+e+aBEMTuahPXdnKV86L
efF1DXOmh6JmrHBulnA5llyUx7xt5CvjnIOGn7bRuczq66QMrTbLJGQb5cHWDGonFBJ6WUKkNu7O
Ckpl+yLpz7TeTDICCv/pz/ivvtSV72defL/eiKU6GBncp1o/pGy/0YV1YoCF1pye0qlg3P28WeUr
t8ZlN65PcwumiBGLTLsZAclC4kWw6awoS5Eij6EV0sglSZpCPdcrZCCHYlSwyo9cQk8nD8kiiKkt
zih1+vFR7dW9ajSF+/Ov/HajEbFRIkoHNUymv3+TsO6pED2bsanNnqVWPdJJjQRBQJLWnzeKOH/8
i/H+OECXXrMeiELdFtwzMQg5euroIQOFqiR7o1BXtdZd8aDPZvCflotIFi/dRNv74saZBAX2VnU2
GGa/t4Ax6vW8AUqPAh+EP7I7FKYN/bpMml8/z/N7+/xn4It1HbtU0Yaaj28W78UkLod0N4w0HIhv
P4/z/eG1qE9UKZDn9f3v329SezmSjSZaCQra50dF9arp8+chvj85f4a4WEMLqJTUnk/OIN+Tt1wq
MyJc/QFEOB+vXZTd+ufxrk3p/OdfbF+swsVXTMYTwUskOjlP4a6rMud/G+X8Ab+MgpJSLisFo1hJ
4xgV4udUD9Fe9++M3p/Vu9gIZVRBEVV45tdMKnP621l8EOZT2VFGJpwQGUCmdpsotd1pu4n87s+T
PH+af27/P4NfuMhdSAdjnjJJbRY3mtEd46o4/TzEf7mT/4xx4Yl0qZwZKX2nq8I6SfqHlQkA+E5h
sdXlrWAehKxfTfRZju7P417ZJZc+eW82yOp0bHyjBS+TnDVbtlp3JVz7L57//03u0gUPKtkKSpVR
pG7UF7JmHsN+gPonrg26HMOzqlSQEtz4+RY7esUJ+N6G/Bn84soytMREzpSvJyNtjDaGPFrAi1+0
WvsfB7owIhoSHjFIHQZCglGonjJrjxyoq4pXvtn3lw3P8vQ40Bpx7nv4euYUtZRjVEQ4c4W/hfe4
8sXOpmP6NfDz+0n4D7Hrv175V4YDIfW34eSkkmblrwu4oPGuLu7QFl77dY8c6hm8lPwbl/zLVXpx
2EaE6dF55HNN6JuFjb8Wg35rdagqqdbtz5v/+5n9ubUvFpLKXZxdg6EKgfYM8yhrp75FR2MwFlPz
9D+NdXnQIrko9eBsjmVgN+VvK3gd2l9x0S66+spI3140fxbw8rCRMenLUP5rASu4SDnRxFEG61o3
HXRG3u2S5ubnuX1rH7+MeLFD+mLuZiTg8EbCzEZm1jlLHv08xPfBEzX9mqLwzC+fOwi+bvrJkBMD
4mXEA9ZtQMW1UqyT4rOjtLwztlFIp/Wpm5cJlbOS0VOp+evn8b+d4pfhL27TThXUIdbP5rmzbgJZ
Po3ldCW5q54d939cM1/GuLhLJSNCDVdjDEDJCJB4hg5TrFxI+maK9gUqaf0RjXa7mB4V1L6QLldB
/7lt5DT9foZhRtOrDn+6WgEjK7rnsDuI1MyG5D28eXicms1AbXM8A5LOQK+6kEBTau518GEahQrB
Cqjowpruja649vGuzex8EL94CVQwcm2HWCzd6tAREba1+WYK66F+FaGLZ2e2lRAu0+kWXeYrY39r
/b8s6oU5AbDYgPOuSGPIu264rdBw0yQkNK5mZb49dl8GujAmuuZPvgSFf0UR5mIIPnRzKcLJC351
NeqJxcPP+/Fb0/VnNO0iCBTjmbyAxYqKxbwf5XKndLWrcfRmQMtQ/K+5J+e764e9qV0ccbHuxt7Q
zzd4LtpinCwL2XTUoViPyFFTtrOoBHGdCf2bX9bHVBS2qCZ7RtM9/zztb92VL9O+uGLTahrNLOZr
jjyx6Ij0+ocClsHPg1zZMpe1PqR+ErP0GUSTUa8ahXbX05GeEloOxXT381jfR/NfZnRx6LUGmYO2
5dB3IfpcSKXQu0DLiA7PJAoq3rz3rS466K0nLQw3BJJ+Hv/7BT2/QKJ3A2PrYkHjXKNeV2R4VDVo
t/1o6DqXDe/nQXix/G73/BnlwnijzTKMesruadzkEKwsL/WavbB4vX3byYtfFBvbhS0sgsWOAn6b
iS+kRbCx7MhGIdnON+KKegmeNMiDW6uff9q1+Z///ItlCiweEgKD+RtofGiysQO1uKOs7PHnYb5d
AErDubxMHXzQ+c+/DNPQMgqDlmFq891ofvvDfQRQTzwXzf3f4/Tp/5/Hv73Anj/XP47pl3EuDO0c
wL2iS4Tz0S5n9XfRiovZRMv7sxhqyl9QJ7fqRW+YwBJ8lNOpHhevpTm/vSm//IQLg9tbENbNcyid
TdliHl505eHnSX5r+r4McGloJ2Gy9IjjqYqRJ8XHQX6Ug/cCGEtD28XPY327Pf6MdZmyBVYkJknC
WFWQn2WPf4GE3yRleOXqvzbMhTUfalUSxpZhrNrfdqN6lAwARXTH/jwb6bw0P2yPy+wrYiz0wqAj
sqJ6yFZ8ADFoYJUCDS/atA7b5JT2AGh630Z83E1LIEHk18yBiL6RHKTfEZMPsi2NK7asIjhWTs7P
P/DKMTEu7ARM9SYPRLZvYdG6Iz5YPnLuumibfXPF7l1bifMX+XIgR7PtKEZmJQoBSHnj+eUmD6nE
RGIEHHNkFKQZoytf+Xsf9stuurACYzhrU0uZ12ru74ZwY6i3Cr1AY9I5U4RP946klzv1d4pCa7m8
C8bDz6t75eBcElqGuUvDISEwGMXCMQza9LTnXlil89oUjf/tS15mw/sg6Kh+YqoUJdFWOoK6uy3p
Aq+6f/Wi8GdRL9PhkS5FCiIx3C1ZBHc7QP9FoovL0tZ9HAPoBV6iKO//ZiWpi7ckKpax6n/fPf4s
I1CTnXdPctelSzQsEpr7wvo10pV/tVH/DHVxJNq8KPzczKNV69/Tw5FLvwTzBbVDCv/uteaxND9/
ntr3B+PPeBd7dKbkrBOo31mlGdoWT8mULnT0e4TmLi7KTdDeSv7jzyN+6zifmwz+s5gXd5ZRJ+VQ
9Bi/tMpsNfxQpcYTfXr/mwyGFty4a28YV6b4Vxz25exXqM1PTceAuYhQcdytR1lzxjHeztJ0P0gT
sVdu095+zYc+L90/re//TfQv7uiXcfXACkXAZ7h6peSGSucVVreZRdlt4/5NSelR8NOjnwTOrM0p
BAiB1109BnVpbSZVe0ZkeJWji/RvNhjdSAY15+e+s/NqfflVnariYOpptArat/ncyDhulXQfJq8q
HqFUmJtuuLLFvl2HPyOeK/C+jjijY9hEYOdAyCH5khK1zvi8dCRry5931rWBLq5VCXVTLRhY8N6f
7SIy3YYuukFpPDPJbn4e6gzQ+efH/TKpC5MgtYrRhkOGV5LUC2W4McdtHZd0SWv0yN+VwWGcnqWc
EiDVVYNDl+9a/T8KFv81UfetF/HlJ5yX48uX5Ly0qqHwJaehcafwg/ZAt6SR9+eZXpvoxXGVO6vR
NfQMCW3zh0kS9kj9XLmork3kwoWkI1II0ZMj2OzzW6sLn7Jco4M3uHIfX5vJxc7P1D4ti4phEoCW
iMTsE/WaY/etbfvzSbSLrW6JUkc3P4t1bqkUCojtKNAo2UagNY+Ke928sg2vjSf/fQuEVjrOec4u
lCL/EcnceWEV0nPBM74Rpei8mShwJlcqlr5/uvgyyYsrSvYbhPBQYl41iK8l8dpKeMp/oNyUvvtE
ezeV337725Tdn/fh95Hzl2EvXLjcSgOiZU63Ya6y5hBKbwPaunG3Q7DU08t7C2cuD561ehWK4urK
4GfT8Q9b/mdw/eK4q4koVj3V5ate2BTxozmfognZ0zNhAAUpIXUiZT10d9q1B9Fvfbgv416sdUS5
VjrMbKgisDAuk1equt3rMg8q1Sow5Wvf9soZ0S8WuZTR61NVFjmcJcpCKJ1MRsTam1/wIe1ALpEK
7b1zgXoA/cEcKzB9FtJcpt0Oxe2VNT+v6U9rfmHf8oY8Hm3J7LP6fRwoIz5oKDTMgJOnF8WAJU1R
p78FKBZ3ZICNa4bv+1esL2t/Yflqno5HoP60Gtf7OEYH4lBC88/j57qgbC57NY1wIeW/f571tQ9w
YQu1ULaSwWLQwnqSpAN6VfbPA/xVlf3Tsl6YwRm5gUIfWFZoiiAPovIzCu7ayNWGhZrcwbQNm5NJ
n4TkJcl6Cj0flKmUr3PlnkAxb5a0UkPg7nVPVI8dCZ7R7tplCe7Qf0iGj59/7Pe2xpRoTRXpKAVK
/3cDVyiGWM3z+cf2sj1W1aOkwCARVtVk2HH6jpKknRjySp2nZZJde+D79lt8Gfzi8AWNqLdaxuGL
SW7mYWuPoBF/nuC3BvzLEBfnbdQFrakDhijHZDdGsktlLepfyQZZ9CMC7qs0Kv6Nl/RlyItjNZio
qcHCpDAhyZaGiuF+zuQBpdJ/8dZMF6d1RuuLJBsvvx2OsQZbh8yQmTzhAi5GsCDNFYMFE+ofRoJW
ZpOYjl5ouisuNkhUChPIlADD7BW/pedw123KdXq0PG3Xrtut9aLelat5OX9Wd9XR9OqH6UqtDHvw
G78TTLhuQa76qyL68jfEGrlyoQhWUUhWZ2VQmQUzFKpQJ/RO0Q+Dl6byczSgUluMByj35mKom3JZ
tTVoFKN+tXKhWpt6ep/n1k5PrbtMRJdYCqyWf1B9k5PkPZwRe6Ys+TEuSArTevVId5+wSOVG2HZW
APF3CjzKG31w/SDVdFAIixxMKqiA6F2pqhDempa5Zl2mS5nHrUXsR7d9nx9NTdnNQkdLkhhML2d9
3U3eRUu1OyuPhhHpQ7WVT1kPnUeaxFsSYmjHhzSpyqUv7EZVuhmQIk7o0rbRljdWSBWcgrO8oR/T
woSoPcQEEZWUrBsdQVF3ELlah/Kbo9oiFppSvyFTDVzTxOEjTRkEOgwXxF2hgyu+eSLHzEvOxCya
2tYM6xf19c+D73uZUZ2KPjYW5VjsKRpdpU2GrID+YLapq5sgEcJEdXS/80QJSp5GjkBXccpmM3kF
WXBE2Oyur4ajSRc5OgWPlR9MdhbVu6pQP/vIEBelOj7EOTQYqYfunYTrLg/cSA9/0VsA0AVFsVg+
mbTYhYpMTyRQqby560jpSDyHVJO5SaPYKwLh1PW0xwhSOYH8k3lQCT5zLYrtxGqqhVbKwbqvZVoI
ZwgKslijHdHXnxlhoZr2m8kEUztN7mwWa/TSDwVQ2kwVEUUSHT94EyPAtlV3Mtp3+vvXtFve5jLY
IWFakOlGgRg+1VmKtq/WXTQtJTmz+6KFJ6XbPuURAPOWAMcRbV+YoXIna8WTic8oT/4mRswZ8puw
0HRh25joF0mFmw7oEaO0ZKmFXU8BckraaohOUu5IceHIneZolWHrw1mWp7/VcmhVo+ZaTbwzKHuS
UKOxetr8Cr3am2jhyGr1a5hbmGnR2hoHR0qf4tH3hjqoafIvQgqlHhEjtXNRtKEuulnxmdJ3KKgh
yYJqken7QoCcxN9SSn0l8eGRrHassH4XEtmNSomuufj8ovOS8bTa3IIRXPTwhYcZgCNto7pWu9Qw
UV5mkqgXXKWJQR9Fb2ILKwrqeCepC+ofF83khOyDpKOHNexhDoW2cm7oRt6iG7cjKkTleJzQUNIL
FLc5p0hpLEoZaYyo38TSBhWhZco4hdwgV4poc6ws1MpwUDBHBbZyBSrU6e4zaYMVI23RlsfMf6gB
pUslfbvjG+wEeyrXGYQ0H4aqrP2uTGEhIBGpTCx5Tstr7uTVh0QThjltpPxpyqGW73urWMVFDA31
tR/WQ58vY9D+CPyKkFr7tnKmBuxdyWtsnjiq/DsV4YbUC6F+lKbKTSad7s4zmv5t1KldQ2bOkpdW
Y9JeNfMnKJGDUYoVYZXo1WIGNnU+Rb/n8N0I7jvlUx6eVQ60tFOju8KnDkG71Yy9pO6bueY/8ast
IjuknLCYPnwxcOLKQosOAIogOGq74v3Yriygjqmt+/cCQLg+sBZpkO1GSOd76kFTUXu3ZkV2ID83
e710ssBCsioGlZaHCLpP4wN666c5NcJtOkyEY6Sz+6OkDmR8Jd88tCXpF/61FDh6eUiVyE6bV0U3
wL8hUWqFXp+DDWK9HsWZfuJFQD68kem0kV4T2GBZfG+2JB5HpEbUVTX8kpFvGcd7ke2ZJo9Kq23q
sV/IyEX3Wb0dNK8DuTfXCDRgoBU5sAFJs0Hf8vJN5N3fSk5+E9gyLDc10XkRBKkVP0RkAnukv3vH
4AoVxXdKL+xQP8xFTHeK6qb9uef0oZUEu8lOSvjeUxlax26absT+LehNRE755v1ei393+tESTi2Z
p1yYNr71Gcv9pu1rpw60haGnTtijbd/FAOFKmr+RgS9Iy033HRrYVfJqDAq6BsYibBBUaaRFewYB
Qkfs+N+xoCSJpdDCQyEeJ26hRHY6qEcuyA5Plg45NYKyr/T2VDsq8SnaCAuZbyVqa/hLC9PydBk9
nIX/1M68h8Ahm+2SXSNC7a6icVEiM26lr4mxDTK3ORPulpVu0tW+bhsVrIijjr80riyqXRb5exge
xXkvCUdr2Jvqc3s++DBCwB9yKofAHY1N3ax7sHc0R4dOSWADHzU0VkgwaJltzmuEzkrMl7pqJMRr
3UHcd8lxFNd68DhLqFqvu347+PvGfMyi97oAabIUtNMUPEQ0fNNuksLBG5R6UURradhP6X6AuTdE
ASv0Owy3Q8+Gjt1y2Obak+ifBBQb0B2I/eUwuU31q0HsuhAPYv08onePqFjm+uqTwO/Cn6lPkfxo
5a9WYDp6VLr5m6S5SPCpwGrp/o5Ofv9gYeFhCVafWZVQQPnY1O3CyrNF1J5QT1+Mupv0v0R5W86I
+Qo0OVHSSx86PEoJHS9cgxzV534tgaDgmOov8myr6KUXO2tyObRD5uqzK+q22i2yl2bGVfD6+DOt
qKWtFvx/C60kAErKDmVYKd7SSwVDFtNiT2gY5buAem7ayXOeetjt+9TcweeDxtzGS2u8idlFQwrp
zQsrH5O9Lku8gUOu3wA8HPWnRKuXUvGQads4d2IWIvrMutsU1mRE/Yx/m1uag8R91+eLhhtyyh6j
4aYWd4LpRZIXWG6c0JC+ztpxYfQ3fYcx9IKK3YvG+jDthk+5vNVzF33jhXhWUQYJjxE4X0jFrf9S
+PeR9hHnhJ7HgqOsShiIYBGYEfQOLkdxeUZMNwOeA6sQoZmAhZmbnSpWyLmBt9ePsrQ0cQUUu52Q
QdwOMA6UjVbyzOaAQLC573LF4zSMd5K6FOsDyeMGukiBym5xbIJbNDvh56xkDskMCr/oH4x+VUi/
UuG2nE5KsxcruKPJYTDcurLLenL0ya4VBJdXKGGwDKK/zkwPSiIFi0bAFK2TwmO4BASyP0b5hgIE
RXd5rapT56yDVz6E8g72zpC7Rb4FfKojr6F6orasZUSrH3vh1J8plw70AqU6SOOqZtemFo7dG3s3
AnIFBFFBm0lBc1q+09WV0W9lfysQyCnxcwOFzzce5/rdUPY8sbTJ/aDdg7xshfUYrFH806RHYGRy
9an5jjk+82BWtUdof4W+y0tHoMYpHRBCxTmuwvOJyV8D83fZO7KwmYMV3fuC5Oo+Gn93c4HC9nIU
jlX+qStemQ2LKHo08rVqvCs5pSbjwozXkvVRJNu4HJ1avMnkc+3xQkvWOnKq1SZ8tNDOM1zIrJW+
nFK7w3DXrp44WY8msu5VyZ2aURd3P/R79LsdqQQzxrlYcRY682DFno7o3/ArEn5rdYo6I/BT7V6L
D9TvRfpW6G8KZNDLpTU4PZI+gDV4XVtU8h7BL6wmaguzvDfNdWm4fbTXuWSFT015yaTn2Lhv+SoI
2mN5rG4Rare6gdrIsa+W0CTgxU1vU7Hu9RVCAjggZrVWio+Cg2OYhzTBZNixYUe6beUncdqqCpIg
G0F+VVuWj7uIAjSbx68+XAvQPluPbxwZR1N5TqStcZYW6jeDvGmQxbb2I+qQybro2U57udqlwFZH
DErqijV0O1cevNx4FqlEntR1U1BLdBKsjchdHYuboMCzdXFghQyJrVORPWf6sxBsJe22VlEeXcm6
XY+bGWxGeqONXhbcSMa+z7aavslGN5EfJsGdh01e/BZbN2W1+c5C68jatoXXg2QEnSx+vVaaRfee
EiYk9ArPwDtco3eD6j5VvFaxAy6KHEnxuwqy6niXqgdxWqd89WRpEQ306FcfVP+myVfq8KhQoDTC
+Xnu+hM+ozxsjfpuCN4qGTmV45jy4HQTSCfQuBPql1KzTd+kwqsBg3KLDqzsRJ+SU7W3xrBk7t20
yCi4alhiFwWiWj1RhGuMu0hckdQleO9paY4P0vAiS58VnqYuot9zG5TnSYwCuvM7Nb4dlJ2iHQYy
lHD3EufsDHAL9OxIuy9vxWTfz0i/2TXubrEBI5eEnlARhHL7Onq7GlOs6SqWE5TT3LlfhdY+z915
dNN4G5qnUnXq5iWCbCJuKnE/1mhSukQz9bTS8BDl9qXRV6W8BwZW5kuYpsDpwPkeRuEwhZs8Xefq
Qs7cHBwKIPUYiuam7HYwWbhv8rcKIcrkJh2OI5zTvl7D3EzR2mu0GzyIPl6mmd3iTk0HzTxl9EKJ
6iNr4IOn0W5DpFbHX1XKzbyKwcdUXpQ5erJX42OHt5C8NcW25sktTE7GB7YBdaCzbhPqR8SBsjOr
z1X9O/E/KvgiU7ysrF1X4K4bthU61bxKkU9Gagp6h0gMbdzm6SlDfypY0g0WGataXwqSU7QHOdgp
5jMLV4Vefa8I2376RNQp0Y+dsk7kg1+vsK+S8K6HrkEIBr+sO1ZEMg+D/JAk+2r4sFQ075dUDSQU
SGWghVc8B/cGnuU2mbF8SJtgZqnvXIfyqtRx8NaJSXH4KhroJh5Ra9UW9PPrI279UY8pVUejC2bu
bNlTsQes3va3akO2Anbuen44ZwkoTDtLGjpRh4rQQyk6ebbEN6UZ2Y/f9GJdF8toeE9moCf+Fii1
Xr+YuO3dSok9qNVFdxtXKLriFbg0ak/NMk9XKI8m1lpPPLLWmfkgGE+19s71K1nHeNhLxkqscZ/X
SvVSv4XjI/WGIBYDnKaWNOVLU93hhfrGp8+ezLgBDkP4nopLgRBHOcJoDlVP7zXC3oVVr+lMq7qt
EK+F/jGed3FuG1W5EAzcSTepb6xpBdqrSLeW7AzAYiSSELi2tm/alkk39NkoNDLRlTP7lNY68uQB
yaaadhzFhZYdDOHRgBPjqQGJyH1Q7HrrRm3RvfAs9U7s8dufNDIqBeZwaF0p4rFiVapHhVsl8+ry
pLa/0nrVARKqF7K61sU19TnFzAO1Y2Twa5eDdTS7deeja7wg/p4ip8d/MwJP7J5jVAzr+DiB5yz3
jeJx2AE81vOqipcx+l7ZxhI91DN4Za3TLU2D4wm+8bmJjogqstVxl+lOPC413G45OYkJqd0Vj6RR
YqvSwi890XzNx5uqXYq5B1MnAYRT3GYNFFI34ybFSTO3ZemS+C9DmMoHoSKKeQja/Zxh/tONES9b
tHK7ibQLrUiqq/EuFfpLAuQwsQX1U4m36vzZBu/qvEvmvUV9YPyQspk0FGoLb8rxo7yx3nfySvD3
Ue9Vg+NHy1h0cMqwOCAqZf0Uqx/SBHtzR5tCTaRPKg0RMw6n5RWZkw6bMXGD3m4oTx+dMPgYas/v
dvU5o3GKkk1vruZ81YsOXj8ytqblUhY09u+5qtqhv9UC7un7OdqRGUcAOJNWmrbs+yWScbl16F/8
YTvnjoC+2OB1vDY39kymAwRKd8OVr0e7QHESYRcXNqVWue4R7tSE1uONaq7b4ezK6OBaq/SJ2May
DpCdgqFa9NKm6O1BXctvrU6iJFllxlpkFU29cuR0Y0aAnGc3lgi41oruKNWS+vhQ89h90wuaRzKh
Qryrov0UrJrfVbEJYvakGyWnIVkp4WM3rpugtU1lG0zLBoD3wLknqKDYMjp7SJ3pJFxPCh2tK4uG
9jQ46MFGDtAg9owYZerKMR6RMtb921FftvO+MH0k1m4U3IpntV8FBvtoG6g3dXKkud8S91NMjLKn
k7yu3CZ7OusB5+XSb1a8Xi9KaltUryZkKzwJXEW+lIEox4e83Kb5yR9zO89vx9LDP5cMR57jRd2v
svSoxa8ZSTUjPGnjZsgPlnqy5C2+RsYtOnhKsIfiP0vLjnq2JPyd0FfOjVG2do18hopP3i6mwU3F
AxsyxDVQd0bnyXRDD8pNZu0mZdNaCj4OjUN2hu0NXejwceR16ocu2Jr/IYgrI7hTuteMl4GOQl0P
jEKTcuTeiRaArpbTXTLeFxWu3j3OB2kxAxgU8qXBvldWQeaNr8Ra8hHVJmT3jO6jmhsnSJaG6LQ6
d9ZajHadtRSEM7F6bebrSHayggOMSViWJIskV4k3FTpyHRzqJTFNkZgLpM4LATLvYtCBZR9qAmSD
NzuMFznJRnxNyrODCdvdEN4DxUOaNQ3fSu4Hg8sdsfCMIr+9XL6rSKfGj3kITMudSCvERPrPSFIh
EyjFS64B7XHK16a5gHqecQnz+Ia8NPpb3iw8mkHElfRkNG8Vl5NiOng3pHGS7N4MlsQ/Op8BdHiw
kvTXHFs3OUgCKPMpN12t2nXpThF2qQ8H66FNEJNF18AZ7uLoPib211aWtZei90lHioGhP/vcq6Pb
9iNo3Z7CxiJ9Fq2butiFsesXBzjzbI2iWZkEM9iR8a5KPLnwssrzh02QvqGOuDB45swUp0o2iCak
6WEoHFGGmf6ksELa5yx6hfKgqb9gktZSYUdEhKV8mJ/RX/SVTRdt5fKG5L8o7gmpzHY38kZGhyxp
SXoXR3HJqKHwzCHNmoqGRS+PcXNL0odro//wJRok3IGzAFUY/5/N3kWuGhPcHjuxcsASK/nb5N+T
nvEJTjQHtXCQxEbo9uYyq9zRfw8aN/K5RU5m53TDPa+TrfAUh7/y6kh+ZA7kpdIsYwGtzndo9Wqw
wf2LpKOFBRf6pY64eCJyi5OqIZV3OxZu0m2sYe0HXOE3Hc16c7dsFRTHd110yGawlbb1YaROJXsz
oU4DpWTdjARONxroZ7wGgMXp8iyXnu+w2KZxk0e/p3EXJKuyXSHnNj0hkEtTdiHhiO3QU6/lTT3f
xjkhhte8+z0TcHPozL90A5lGty424mM82AMevPHCIywuU/ocSID/VtR1GehwNHdF4A7VMpxtOTka
2bOqu/5k82oQ0zKf8yoC9mARy07eHifDSfUXwpqpXZIVH3T2IG7fpsq5SDyredVeVbJ1Bo+8e1MD
o7cTTxU1S4h5imSeSVW6Zv7Q6O8BvM6GqhXHij8k/UYigwa6Td1X1b4c7rPyucoPcY3LSVZvaWXv
Yv00NY6VucStKYqU8TIxbEgeFh5Ud75MisyryI5ahWMqKk0yy6Q4Su1Blw9t91IjFR85A5UkshNp
K13Ymd0t3alIYS2ybjvwKA3TXziQyokT3IwtfzGMODiuKWwmeW+JiEVQmZkTAy378qSMRAALM7vL
m+dIWgevM1oV8Vpr3mKNk03akry3gVIQUijw7r1YWwbznWKhH7D2o4de2reSnSiEu25ZP6Xprgzc
st3K+bKRXg3pJu9uSqKYgscKaNYOT50L3qhq/TbPIb94puoZoUPgnGreLB4iEwfLU/x7E1UhhFjG
YRdYTlO6ssIFezTxTUbDnh5QsY/i+6HZ1Y2T9DdT4s3KgyJ/NMkRCzannlEvyeHyuCQFrkXSL3Q5
qKSRKNVspX0ZL+mN0xXeLe7jaSuZN123USwvRgEA0Qf/fMo5vFa86XJHMXgqsYlwNYFcC8kkg0T9
USIrq24T062150k5TDUoDRKi25QnGfQOg2FfDJtsIFoCxUmGFNbris0rTUuwKrDQx3ZjgEU2lVWm
3IemRxJHRDs2LZ7j6tXPjwhWxPioEoTKjf47mVdlT3HLEvS4jrWSBLdGTU06xb5rFoSUh0F7sUpH
eu94olCfktqJe0CgdhHzqtM69ejMpUNtd4Qmk2LD9+xJDSeLCZASsTlOZ39v4GD0K8M4lDiNExVr
JY8cgGC2tXYgtB0yPJPKps8u6CAToquw18cPHNw6c3xuvttOs5XJJW1QsyFwC831OHiQmv4fe++1
G7mVhmvfy3/OBnMA9r8PyGJFqZRD9wmhVquZc+bV74dq210qySp4fGpgYIxHIy0ucoUvvIHrr5Fz
Zk6B9kK4jyp3as/kdoknY/211R1N2Pfjj6HbpLM3r4uxbFAsyfeJ5Rpud0mmpr0IVGqzZ6O6GCU6
ZdiXribzuWzuVMNVn+aiWHctcuJUvl35xDM7X0aNzdUalFTcNE4WeLtMmmM2u2ZcBpPbPhb5xqwu
gnHX8XnvxGwXq1fY7GDyYkvaroovMYFvcFSs9hwFiHZO/a1fgwHYROFFCyQitT0Bs2SqiQ7C0xp4
suFMa5a5tk9AS5SUPrcVPO5+pZE2mGSrtjHsNPkyGfZTu1WzM29IFsrwLU334+QG0pNJx3Tc9v6q
UHiWl156QukhedQmqtBuri6sbJX2AuTYDcm5WNIxuTbyR/IiDdMfDDWqjRpz2qDcWsSsXCeaHKXg
CkUilGt525Byi+RLg4zvzX3J2y6XHZnT+Azk3dJWFrZ83hVhC+t+VO4mSoccm0I6LDKJeklxpSul
HZCkU02qRWQ1dvqAC9oDWT+heqa6WX0nF8Q331vYb+pywplWcYxgrXocBl+7Edb31aiuJX/rcZLI
uWuQMtB2kBvSX4B+l73c2KJ/57Eri02GqmeRupV6MRSrXqaws2zM21hTiLscOXDFH9hxVNlFijFa
8GDhGISqKwzHcgE1zRIeyzCyPZkYbhHIjijd98aZl583xIY8dac5pCFeuc8CfMdU9sV6iByyzMK6
CaLKjnoXuxrDum/Jw6pVW9xbSClglkaxjippvWjzTdLfihQy8GBDS6dSr6TaVbIzhYyrWIXJLhXO
sB1WyZ0aN7BswUOzT6R/citPO1xLlHHDlUCpow/vSKOH+GYyl1CetfYMazZPvhXFu6m6q5TnvN5Y
6sQj2TKCdaxV3bWijVhuIHuWwtdimjPsqFtG9a0e3lTd3as0y3McXTQ1Nf0doAgjiReTcoU1MiYu
btguTbpb5WXqLYR4aQ1bUXPreG8qhGnjuiOqVG5KY63kiKiMa4/mWN6Yiy7B3Wd6QFVVTnemcDfI
G0PezqaoXnFnibchrkmdwkp6yIUbNf6pNt/z3G1ylFkczbpPyDujbN/LdjBcNf4DZjKD9ZRwpvmr
lMqEjMQCvtXBEqHaVr2UqgdFurWGhareNPHa8tAp4Cw3VtNsCkeZvXNrA97c5ZitcnPZdZdRspSb
hScsNQyLqO302fnEPqcQUGysDMkUBI6oWDe+K2RXvnc+cSQG/jdDukv9n6WFp2qr2X1/M2JNWd3i
T4YP1TMyVG3L9cm5wse6wfoc7E8Z3NPn1yuRuClZiZSp8vh7WGOFF1/SUekrRtFCp+XUqajs58ld
Ybq5iJ0XLZM6Mi47QTPg4gbPQhh4xAga2by2LTo4cF4xLhFNOOtwA1pUnb/P8l5YCRYUaw/LPWqr
ubiQUu/cDNrLrLP61ThMdCebrNsEepxuKi93fRkWnWjQbwFKZGqEVGKxQAvaScfxMZul19JRERdV
WSp23+qPcTNJSy9pRdT0JMysuc/k6iowJT/+BSP+T1B2FiP8i7O3eGqe/pC93z+lL////7d+SpGI
zj9wep5/77ekrI5gK14JKMCqrz6ufyrKKl8UNGo0zTRQWpVFBVzqb6HxWUQTjXz0a0BAzRL2f9g5
YIc5k+ZnBz5RA+Nv/DMtfOMdvsmwFB5vtuvD7UaZFW8PgeZF19VNYvX5uig1nZOhArijFxDCammr
Bt5tUZNICj3qZn0/Wnij6M/CgIBzEFh7X58oz5h0HutZ5rmhtOLV0wOwCsPJKu4ZLwrmTY06dCZE
waJuuHEx5qOIJkUoWQ9Ps7ut3SAv3SEzbVBvNAOMVaSahnKKFLXUczvO2tSRNVxMs1p1hWx11gxL
ERnrvh4uM2St8Z12a2SuPSu81ay5UhaGKz1Qb1IvwKpLoVbQyxxAaUorH+lsqVe+BUN5FZuTOXvQ
AMdUntq46e0E2e0cXpUtz0rcGYWbJmUG6YRKt2UMTwqy3W1FK7yYlbwDJL3FWds7MUk/skBaqUFI
a8hbZFpHNca8wgCBtmsO0qOhcywH5ItIh0NjKFdTMVeNkBUflPhCKA3M+hAcF6XyIRPEWz1KteuC
HnBWgmQptKGBHg3ao5KjJYK/T2NU7kVpILkzit1ghKKjFtKZUJhXYa3HmLw0dKpwH19HcUIxQ9sC
Z37sKuLwUhLv22JK3UKIFtZcW+e2L6SI1l5caQvdFJ/VssWCvrXHJHiorOhOrsut2uJcHQXRzqfz
IAEgwq63mG0P/Xs97WnOmt5DjAt2EmOAWNM97Prgm4i36daPPSjQWUlDILkCmf9zVBEP76Ry1bZ0
Vnslu52m+rIpsQELRHkBHX4zdgoeo9irTpr4VZqogGbT2aR3c8E0vJAb3Mcoa3EDGJicaqV0HXQB
DnKDm3fCY2aAy+8NIwJJl36b4u5OHim5TualMWY0H4TkpvHr3unK4SXjqI+sDOTCINCZ6fZ6K8XL
dGClR0PxGPoRHnGD+dT7hXxW5OlXSyC2EGX4J12XxLYXltdG0wKnJpkdtbx3yry9MOOCas4YAuII
lvg9RETCFAUiNrOjdsWFFQEwUozovOrSuSnrf1fN3EnjfhemoFwSYjYhX2VSsZqSejskJRiKUli2
wrQ0g/QyD/j40bSKZO8Hkrv3ouBfSo3c2Y1iugD30MzXxp1ijQpa7DT6IpwuEgM9+QiFGekql63L
EoOLKgPKBQRvRHGm0ixhkYoIonrIzBUpMpEWqBhZxKCw09rzhNJVXg30RMOdbkY3ZuPRi5IvS9UD
2VVRIRpELCfnrWqq3hm20Y7R4+HcdhN9/qq+yLPw0YspXpnEe41anWNv6ztToV33ZrjHVZIGbFIu
+zzZF7l+W/ginfWWOYUqhTddaC50xN7VOPDpDeG1JkbBdkIQXsVnvZ4V4l8P8v9utJko+vc32kX8
lOR5Daz92N5l/r0/bzT8x8HColVk6qakw4D/LZKuz9YZ3AFIEMxeGG+9YS1AtAYXmmXovww3Dq40
FBvnu47LCFuYf2SdMaOq30DgZ0wyI2MJNxuuqUfI/myMB58bSkUqJY3NpyY3z7w0LfSvWuGZGiA6
FOBtYWol7C/zWih/DIFCIaoVzNJppDZKnaqyQu0sbKss+AZMMMRIbRr8uyFVUppvGUWaVMlz9p8o
RPpCUibq2npf/CglgsbAH9pzjguQMlI64JD538J8NS2emZt/vzCd5Gl8vyjn3/lzUeI5BLPZZGnN
5NM3i/LVkVxlFJn77HhRIsovs/L4z+xxz2L5Y1HKvwyLgZ2rhvxrvf7f//OGvlcf/fuhmIP6nguA
X7GlivPCFGXlmJnZRGaoljLS/ZE1ag6QkOp6wKIKD4xGf+qzLt2KfptfiLpQr/U2tq41XaUkjQfI
Mg3a8GdtAG6CgJhBNZOVdamPqQHerBl7EL/M8XuE9PNTrYvTSsu1eiHkmbhL47o23KLw+zV+fqKD
4bB23YQaJbC+HPetoFZbK+DYjeNCfKwCubih6V2DfgDLVcBP3U2huipN+VkC97v0apkypEr4Y44F
YJumCVAhhGG8S6aiCO7Vrh2KjZx5RUbLhRrc2Kbm+uCzX/7ax4cv8m24SjxsYkatSRr/xE3BPNZL
q5OxFVuR3DG2evv7XVEHOHf+4m38d/gb0IH+fo9dVE+Z//J+l82/9ecuE79gPmeJhipaum5wnv8+
+qUvbD2MLuEU8H2wjfgrm5Fx2+QnJue+9MtX4/cuM78os72ExebE+YsU6Z+c/dKrctibw5/lQZqF
16aoyajgzIySA9qsNeVDGbehuQrwrwH20KuI6ipD3WG0a+C41BFmWcBSrNkK0a9LWIWzPaKQTecZ
foke2PlAVy5afBS92VDRm60VfRoHWUClHM9F08/v5ck7t5QeVAfMzxJYTYpLI/ra6xHXRgX3Rg0X
R9VPVxKujoi43laVhGJLPTzERn4fpvJXVc9eOHmw0ghcDytZjIRuCfK/BRT5x1TYWZAYGowkORKe
B4wl9QmELF52TjdFj35NiqRW6kM4u1E2Q32heBqgWYwqhbx/1jGuVGcHSw9DIjuekASDcPDIFr8p
6C0NGQhH0JthARTGHFfd7IuZm8MmIOCmRlo+jLN35pSlF/Fspll7Z33eXxUhvQdx/F5hvBnI5hlS
+peJPCGxgTVnQu28xaoTmvuqxLpTkPAvIJpeG5l422DuKWLyKSraqjBCD/Rs8cMC1FEO2nme9g5S
YbX0c8SP2FSSfRZXbqCLc+hdgzWZUmoZsNdSzEbrTHgoZfCaKtW3CYeO4GXoE6/cYI8lX6l6FxU7
r1XklCK5taz6Jnf02NoaiXbL+U8L0wx9cgtBXCJ0LN9EVull+0JVJ2gYRU5KSZYVzu7OmZJeCEJ6
E1ja8+AJd6joYmhRCXAELH8Ul5kArK+UCwN4a3Q7JAVexkkiJsAKEuSz/rvxX298AwL1359GZ+H3
F+poHxxH/Nqfx5H6RVMVCTNM3HxfXdx+H0faF0lTRUmluqJy4b6NRBFBUDh0LIt/Enf+Po6sL5Yh
QQ9SRAOHN7ze/slxpLzGmm+OI5yJJU4+TkpJh+h4dBzFGOBaOWytdTiY2TJo02d19EEtFhCsytsI
jxm7GqGyxeZZM3uxT3n1NHnDID0UqGgorhEMfXHRpSYV0dpfCnrxwwurXVlZj9VgXbb+gKyEZ33L
0wQzsvpJjvIr3K2uJh9gshco+T4JR2NJvuxWw/CQpRTwzfa7zHEz5cEsjnmbVNm2mABqKGowLDrq
7ZOk7qtGu5J87aoe6ZVGAqD/ekb2X6pWcBcr0l1u6WtfyHToO9UW89ptLRuDg1XdDy30v0JdX80E
gjix1pUnnptSslHG/FvoDXtDS9xqym7VrnmxZP2HbPpQVtI1p8IG+ZfvLfCIwqNgmyNp2BrXatqs
jEHIHVOvVy1QNU/uLjPKIBnyZkPd39bGeE6YtG7oUuc0hwaluyvkajUAvA6LehvL0Xcy73WGj3pQ
W7uRlnCdQgLp1F2Y17vGMNbpCEWvD88yU1gKlgYrqFe3KripzmNnR8kVViTko70ZLwrRWmhd/D0N
rAelN2jiT+NcGR5DWx3okYoGFPUSYka8H9pmo+nx97EuXcNo7A50igIQyCDBNyA0aZ26URpj0QXW
T6lv97XPW+6sZKFHOK3ryQ+1EyBP6SCLO6CEcRecT6UG+yK7NdrhPAymRVhbZ2lbnGUWzKSybnFE
akCSKNmEf2o70Tjtlp1Gvh6ExaKKwhUuSi9dMl2Riu/EqDyTOmvnif0qjqed3IAOAH+JT/PaBx1Q
ltYu7rNFrBhfEQk/w0j9wSzqtdbWD13kIfwY/ixG8wfX3D5v/E1dhzBnEvGyo1cwqda4V6QyelBb
C7C71uobKxKn+16YZKA+qiw4E1UazfZrWaNjkubBAyy8wh1CP5OcNKBiCR7PqNZqreC/7Gd0Yr1O
B3lZe2Buw8dIo1ggFB48Si92+0TbyBbMG6lUfYAceU7BRqB5lGTUyDW5Mp02bcVVy2Yl2KacJVcD
/Dg9vjay8qzT6mGjNhTlxF49S+SZSxLRhh4pallFxN8a5B9W0taXhpBc14NCDcvqQciO3R71rZ2g
TdNitPoflFKurVDSFp4O9oamMZ3qgnqZKAngSaeIIkcV4Uobw4dCrWXdSYK3CaxmWuaRBg8TyF8l
4VyhTsylh8yLzlui2Al9VSuNoHpaQMGqoqUeyj2dQpCyTThNWBMlG0kpOpggsAYqXM4cUYAZMArF
qovH3AlMSBRpXf8o0hT8xwwSJXCwk6i4DoL8SomV8zICM5V32AF0rUYK0AKrjnVvJ+mmAgFuQGxl
boLr7Wr0Y8KGYdhqAjFTOBPj0jYuATGotaMb3W1TmTmN5fBHkvSPxghjFZ/uct1UYgaxB96JOAg3
+UilGJnU+2yEJypL4OUaT73wvPBKlwWRviFAMFOWFpoJrlUVp2VT1t5STsIHbH5rO2hYOU0DaLJr
6GzysjZxIRNigHvBkBDUoT+y7uqOFdfBh5ND6byLE8eHxLHxPQWgDhi6empfhEq/07x0HZT5xagJ
W48+vAeeS86NKz/onErMf1ITvskLSoOJDI4wS8ubXk2vY8KgGRuA+UWpVwtJbgijoLsD0BxMG/vx
P2QO/0tP5uvx7wMC4F1J+FK9DwjmX/szICA/AdGlcNnqsiRyvf8OCKQvSJcCe5JQbdTeBASy/oVO
CiHcnNtImjgn539WATQKWrJJYWB2wqLYJf2TgOC42TKbZ9Ni1EWZuETGXnCuXR2kJwbExbiW/AEK
xzTDYoc+rNZeZOb1zyZisz3kMnyAMBDg1nWd2YZL1pWI/+ukc3BTIVYssCWvftZyoUm3rYjLy0bm
V9XzKVHAQOexIkN2q307aCuw1EOP04Lmwwpf0neUaS+Xyn1Zou5qj4ZUKZcd3PuFAjUVPlGVwhQX
slJBdVYev2pjkV8ECRBIImW63IGga46MDW0PFDyLt1IsVptI1Dww12DxgyLi/x1BH9EBIZgY3DlW
UwyO1UGlFDxR2jUEOeGiCqHyqQJ8SY9LZ+pMZTGX4HeVR7sHnkR0V3rSk6iWZ2ot3Jl5DCgqM15K
MV4qcpZsuzyobaFXE9hYredETQ45ZxBWwWBM26rrFNK5oARHKyoLzRCAjiSokNUhbmkhsGzDqPcI
P4fN4r84/TVOn0XH/35boiSSvtTvd+X8W3/uSu3L7BVEsVhGSuFtbU7H9JuqnWWpClRQ6mx/VQ1o
dM4FY3akbhqiRM/zr13JjwyRuxzrbjqo2Gf/k035KnvzNkiXWOOY3clsf/Ylu/9wU3q5oJgRt9+6
CQN/Wfb1FfYht1qg/tQrsHJTbixzkPadZzyxMO90mAMWl1RnVBMAWOHHpKvwa5qxcHoFH9hO73w3
xZ2DZZia6JjialvCvEYGLwM1AYamlgn6wqrWf8YRyMJeKfXFVAN5qbiXrgu5HSB0SwQtiabd0JeM
FrE/CnZNdhxWZXo7pn62kzsz3XsemD+vtOK13pA/exO8cktIOlcNo34Z8ZceFcQUZinSn2Vq1k7v
lwD3o/Y8zYcNig549wqAR7pIcP1UJqSh1G7ruB491BocYaUPBHCZlgnLfRaA9QEdJ52RwrrwIijq
cS6E4e1/++hXhZvT/u/30eLlJm/y9/toNpP9cx9R49Zl5bVQzZ7gB38iCahwazNQYK55qRb13r92
kWxQYBMpiP2qb3PH/bWL+BE35Vz1UhDfme2A/sk2kua+ysE20si18bCg0EcdT1cNi4EOt1EkBQaW
qam6yiPRW9DOJQAtPVT6UqfsY9EOps57NCElTn0pXqljo2fLBjH5eC9bpQk20ZSnTYk3MiAcLwuQ
LawmDeNCXcdbjEwobf4r80q/FhqH6CcLLRzClw/WGb/05zqTv1CPpWQh/WrvzaXcP1ea8oWvbEio
gxiyqgNf+b3SrC84Es+YFYNVyIMcRFHWF8r1Ov/jrEwpSpb2j1baLLR3sNJUmojcFzrV5Pm/srjf
rrSs0Mq0jIZ87Rk1mF0Q4UZ5PTQ6NMZIcxMhOFfEdBnBVVHhFBy8qw/6D0z9/diaQl1HBdXDan87
Nr5/UhrgObYuixlQeamJ5765/B/GIFjVgPnwtsQjocEOgMSQZ0ByElo8Y9utTBxKM5zQ/t0wXNiH
GxbT8gy1DobpteZa1sN7LNUd8rMTszk6F359rYPZcI0fDqN2lD3GskPyp34cLPLX10KRDMPcQoRG
sD+f1KnRjuSa5NS0/KZgtKAZYaXEdjKO0IEui+nbjNf4fLAPF8PB1NgMh1PTfV+NY6XN16aZAO5N
l2KSfhfQJf18GHbi+zV3MMzRmitHL8a1ijkZk+T4yB8k8boXr6H0/rtx5nd7kJ30WSgOosI4U59d
hiHaFZLyPZgp7H3VnFLW+nBSNGrnjAu8gHL0oWq/DKQax99Z2+tns6xdcyUtVUdb+zagj3PL0Re+
/T1wXsDo75MnQCnb4mrcnXqM92cJpxKhJD3gWeHLPNoEbehxnRH1rPutt5Ld7rt/J18O16h71o+V
SzHI/mmth8IOzs09FZP+6vNXPh9Vb48yhtcJZsUZAUiw+/aVK1LRBnma5zCfbAXFZBfTLCg0Z8W3
7O7zkd6LqRlvhjq2VafSUitNxVAqjBhb3Jrn8lXt0sJwYrdcpQ5Q2B2qi50TXQur/Gt3Fdin/Fvm
EOCT2c6Ax8MFBua4YXfyCHL2EtYvYbxPlRdP/9bkP7NTgrDv9+bb6R4dO3nHRYXreb5udMiaOhI7
9N2R//8VRLxp9B/2o+ct/tmUjpaxV5ldERYM42ml3U43kXn/+XeTPnxpBo0KmdTE0I9VOxWgW36P
QMg6d1sHdhm+PnvlwRfs4Tq8HfbNnXldLYONdaG74ymrvg9f4sHY8yY+OBE01O7qxGJsyRMcvMA3
+IusRKQQPp+j/OFbJPcSTcWQSQeP3iKuHWnejGG+3lVnk4x+kh3WtuxCp7Ff8sd22bjmM/ReO3we
bc8x3Z+Zqzn/+PRjwRw8w9FhLoReOgZ9wikrDTbhjF2Et4qMXtJJWcN5Nu/WzMFIR+c5tgFiZSRR
vh4hZthwp/e9C0fDvrD9MxRGkINZYN+7gCNkr+NltkpW2uLzF/7Rd6Vhppi03UWVztTb7xpLVaDE
owB+fqK2mnbXhV5sU90/4VHx/oxHFPlgmKP97kcW7ePcz9ch9JA6Qf8GDgsKn256Sob8owV0ONLR
bo+KRCxUKcjXad/YVLhApnz+xuT5WY8/2uEIx8vDa9EZS3lljxfRgtPSrR1reT4sSPMxu3lOV6tx
+TR9KxwIgZ8P/cHcLJP9rxA9K5b27tTUhGIw2iRDUgjSS6i1uWsmwyn37ndLwhSpf5qUJ5GPF1/h
G4dbXe6LsRI9I1vr3plCl76VpoXSLP/hVI4GOTpP8qJrO7WDtzHI1yP8vvIP6M7fHsfSqWkcxTCh
3mUGaQMj0H8sAhGBRdnxxMdJQCMy4x6HeV8PyF8FGmbD31VksSyYVJDvlkOauv9uukcpcZUVgMkN
HqYtLxtsAERE/j4f4d0Om1/onCZoVJPJio4OzlxtUinM+GoJ+jXWbVXTE6EVTBno83HehdWv42ik
dwq5vXLsQ1jg9SZKuo4SDkT3JHKz+FHOv8q+jz72H3n533/DdzHZ62DAhYxX++XjoGjqcYfOSzlb
+/kPiVfWW4+6GuybeNh34oTCIypjYrrW/PHELD9cPCSXfwx8HCIRMkhdFDDwiKDjoCxoRNoQyz5/
le8v9LfTO97PA327zByUbF14yVLsbrsKnQK12PWNvA9DESaiCsO1W5TVPhYhlVtU9dH1TGJhNaLU
0PvdtSnHSy1tTujtvjto5gcjzqCMpItcxUeLSWUEtdWZvgYLu+5TGMWnjNVfJ/fmGJ3HAOglSzMI
krD37c3TmubQ+eWYrZHJ2Yeoxt4Mi6Szv92+jIqt7Q3HWyurztEvIvsHTQyEjpY/7iB2Aw56ftjf
nNIBn0sZb491nsdiESFjbMz4zKMAvBiHtlf7Fh2+ytYu5O2wkF1tF2+Ti/jcuy0ftRVaaI5oj3Zl
S05wXWwDO1zK+/pE9PHBu8fVdn7/ukgDa25cHR6/2iCLcjk0LAo6h5Z+GwYnfBiO63NU4MXDEY6d
OixMZi2jYoTUFh3doai88hbok4RLb3GJBosdLxHHgWK7+Hy9f3B0ALulMGhYILK1Y3fDNIiiPvPC
bG0akTNSJS/BmU0FFA10fcfixBb+4EB8M5r89j2GSjlImRdk68zProQJosyzAKcipJH9+bRODXS0
WYAzGhVF8GwtooQ8gBKscxw6RAOlxcvPR5I/OA/fzGleOwdRuID61ai0DJWdpW5yk9zScEeeonfw
QF6mG5kFsyl3mZOsg2/VefN8yhTiw7VpofMNlopokR7om/G1PJdaPWb8QvwZaugxlKdmOL+so1MB
PCkZjqRwl7EX345QyIM/ROWQrtEU8RF5gMHSLwBcLryFt4zP3FkJ0cZONNzotrHynvXlaF8Rozif
v+kP98jhcxx9VBCAZdy1Y7oGhOHrdrGp7YvBWjZrtE1s6PEumMSYuh/4iLt/HOaxPw/HPvrKllyo
OlTSdI1yAaBw0o9TadYHlnFvhzgKjpIuiHyjYXq125wpy9rZwEY1l+ri7Akcqluvrc24zpfC5tSL
fT1cPvvAR8cbaYhJ+sjIIU0Bt95KqJQ5mg3NsHUg8zvT7rv1jKYCAFsSId/e6IvGHdwAmU/bv2SF
I+PpwPmXVugSLhtCqSV8bk5l0z0VUn3g7MZborgsK7QsDUKrt4uxKZquCaYeSJp89g2RJepRIoKK
zuBmrmiHC939fNV9dEAejjefNAfbO6Axqhsx44mF42sQnmy1xYsB6bz/4cg6HOjoIwzdGE5Nw0B1
C+EfxSrJfGg7ye6El89nNP+hd1/74A0eXaqBiqb0UDfpekw2kJVR/Nil1ZXQ7lR9Tfv0xLQ+uMIP
v9dxMitaYyp6Q5eu/aS4rBHLkVFdtcLk+vNJvSvVzfvz96Sko/2ZmuE4hCrDhH0DEPG6boIFsT2q
pOe5jyxeSB6ohYvPBz2xNl7TnYO1Ad806kOlTddeUY/2NCKkh3BpVsX7LslugmTYfD7eh+8SKhbd
cEw5qEi+XYthGU0CdL10bSg/JO3MCHqUI9f/aozj7zUKgZVPA2NEivTQIPM2iOKyqPzV58O8Yv3f
rcKZpGbMJDWoZW/n0lcotvsxIhD3+f20AH67qNx+gRi/E9gnPtNHwQDW85asEkLOXhVvh4KYWdS6
zlC6iHyl4m37zj/vM8mVlPjE2/tobx0OdTSrcSZfK35F+tPf9FjzKHdSuvOMJdJa0NA+f4UfrYaD
sY6zvtILSg0bbKZVPSs9kve4ykUn7v552xx/pcMxjq5cRCwqTejKdF0F36P43ALr//kk5I+Ci8MR
jjZuCfSaRg0jsJZdi7JieYVfQWPXd8EC240VCrw26gvOQ7so7DtE/VSYAu7nD3HqTc4/P9jHRato
Sl7xJhMzBHap2Ga9FtRTHb0Ty/DYmdjMozbq5Sxdt3LrgvR0taBdlIO/j0v9RL7yYSxx+FaPYokR
jmWFsDAh2zponWlJ5UF7wLgBNZzV5FbbfKMvJddaqc/Iq9jy+efv8305jtP4cPjjHZf5E/zoedks
0VIzFvU9Emdbb2vsomV4nq0R2MPh20Yid6M53b7aCie2/Kl1e7QPQ12EICfOewPV3Qax8SQQToSj
HyXLh5M8LotLel0kQs8Yu+QWPSGHYAnLe8u27PFnuNev0C+9U916FVzoP3J54V5pl/puPBtvVPRw
nXrT/dRz+8SHPzFv42g3WVUQqpAS2E2AksX0OgpPVc1OfdsZ6HK4WTpR9IJ03izyuc/nVDfZRXQx
GIjurdDXubo67xbqCn8uBGOmy3YXbMPl56tLkT88lGjzAxeFPSIfhWR5Gklao7KRxqvorN8GmJg/
926zmezcWTX2A3L7TkAV+PrlbE9n0j5r7MYuduEKnbNl+BicOD0+zABnYt2fz3O02cIZ/6UnOcfH
GaD4rLVbIA42MEr/pdplaxcPM8e8Hh/iJbn1cDfkzkknpI9P0d+PcLThOlMP4yHllWh2/uRVtrxt
FsrtIxL50/dCW4m985zY+/irbDfnJKG5g0pdbFcnLvWPz9G/nuK4QleUBY2L+U4fm+8RqpXlrTi8
fP7xXz/u+xvp9xhH6a7fDEYBHp1T1I13wkW6BSp+HTyH9rUL4N742S79FQLjZ/722q1B4C+zczyw
QOg/fv4gH1hPzWfc7weZV+nBpaH7gxgVQpqum8X5cthZ+3AbXFRrLqj7aUM2/uBtspvxLl59pUy5
aC+rp1nmd92faefeUl/qSNiivHGdvKCdd2/9T+ff74c7urd9xRgB3PKWEvNasXbAcU7d2yc2oXJ0
0uAIHyji63fg3u4W3uobDmqO+XXzrK2086et58CnsDsX45bdqfv65CI42nGRXsFoGZhet2yQOblM
JBtZ3W1NsxxAsdu4d/1DdB655VJd7o1VG9r12den1r7/fA18WJE4XANH2y704VdXPs+RP8mJHV34
V0iTbQdXXCOM9hVk+Cp4SFzoJP+0dfd6v87ENfoLkHePPq+ptD3aM6w9P7SeuyFdKdhUtFNWId2D
+s/ns/w4bvk92NGX7jypzCnbkREY+qXSqI4MOUhGt1joxBNDzX/q/eb+PdTR3ZIlbW+1WJitA3ju
Y1mg8tqeuD1eM8HPxji6PXS8pKxWZoxqac13WODsjPUAh2uhQii29efpXjsRRX94LoJioY4C9YE8
9e1RkVqJHoNiTnEgu1D8ywD9mbr7+flXek3M3s3rYJCjtTiK1RgHdMnWYzH96GVzWcjKFdAgXAcm
+UwpIUIrEo4j+OIVxv9y8B+MfRRuVSOU6U7gnTYITU0KYs6JsIkK6X+Jbn4Pc1yIHIpWEiSL99gU
3u3gdaWtKKeQOB/1KKGe/vWxjHcXTB5NSTevwXiUXB+JTENDQKroo3VjFOdlZ22ESFGcIAmXo0+l
fAysZZd4j2EZbmqzu1dizf382364Aw8eaT6LD66aXCnjopvnHU8ivIq624hF1dqKEK41vT21kD6M
JQ5GOzpcevqyEzqEvOVli66vnZ9zpBTf1UXndsiFOwjDKpvPJ/h+g4CjBN4BBQH7NnCtbyfYSJI3
Ksq8QSIJGJfRb2r8M8LBcv7dOEcbMZ5UwZiagOABUlqMF1xPPS8b6n85zNFWLCODrSaH6Trjzw/e
psZQAPX6z+cyP+vb/f72nR3tuXTSpVjxGETF2EWBQtvJwk5sR3yWRkcqsn833GsQfLAGYSz4md7E
XHUpt2l6I2EDZrUtnlAjSdbt53ObX9Anc3vNQQ4Gs6BV6KiecUYbwnki/z/2zms5cnNLs0+EDnhz
C5eeSe9uECSLhPfmB/D0s1ITPadE1VTFOX3bFwoppFAhEwn8bn97LedKRVFXSRCqTc5HzXa3mNEf
9qy/vKSiXph+ss6Z1LfbWSiWcOqcR0PRE/ozwfzbYTZlG8vB74FPxZTff/8df1FpvuSH/98Vv49m
LW1kXWRxxVg8oNzqdoVvCzd6oXNzp2+L2+hDDuUjHSHzftwlf/i6imVeRo1/3OSfrv9toDNoK3WU
mevbJi4iKbma7OklGeatpSbbgjMsWYijHMU3OXmQpqxzX4HFkCrZXh7FvraGm17tdxqQpUFcdF6m
A7uXYVMbDmmGK6cXG4ErU1fjh9yuV3dULWRexkNlZJA5HZCeF1J9AbY8Yi1fSK+Z6I6lMvzo13kk
SWsFVgXp3pL8RpOvheH4NMNspG6imCc2krV8yW2PAgSEXo3XhepM0CumX4kZ4J1c7ge5Fhyix2cF
tJ+rKfTOdL3xqErGyXA+UlQ5lWg9WhzwU6R+sWLum7PVVWrrUAF2lSl5x5LjtpF4rC/wWjpml6Gg
bRdkqmyBzdX6YNLnTWHU1PjsciNlNOBNGkG4ii1YqhXPy6DemjKYennGaCdb70WvedPUBF0+vLVw
3CNL21TLeLWCBVjK5R1KcNQcjczapzqoN7VtDqrZHSRn3TfKheiPMUMo9PUnn8WKDnYQ0zUZ+50o
laCz6DaKnX2WATpXtD0iXGRCGWoPY5sstMEnlbVJ8vaQTQyy5pTofj2DAtemVg3W0VjdnO50X5Ro
ZOK8PcZiAvZYaGe9MmGER8hd1fw40T/i1ksBEt6ygElyC60KmQ+tjaXbJGVIQ0ggKzEOU6GioekV
ZQ8IoQPzO0iuPMwvQ4vsqfyrgYl0pt+OLT5GpUVTMQ0TijaiDQhxP9XOuClsTvssGyy3U15SD6v8
tUrW26zXPVI+AXml3Y7acI7b/l2Jkk2jZ+WN0U3HKsGgkdGafbGo7wwdQHi65o2fNVWxoUUR91LN
abOgrzl1Wq+kO5xWx8e5Gmkpm1kLlkveBl2hth+SyeFBhKunX3WtRLhi6bgZS13y6gHat6qHLW6s
uOMRy3QfvIGsAGRCSjLeKjRB1/XiicbeKoqytQe42Kq5h1zyrFNkGyPsOjFY7Ha8j+Gna3P8XOBK
ytXhUAwf3aX/O4fZPHMymmFA1Yp7vU+2xizA2IOyz7VQjInPOWI4Ds6ruownbIawoZKTDgUdbMqx
lHLh19gCHXTqbsTypKUD2tATkmSrL6D3OiXGnrX8hB2zhzSD0AMDWTHad62iPCrFcIV6+9GJc8Q/
zlUflVcxfkJ7eFq7ZLdqLKE5TRSvOqfdtUp7e2T52kWrBPpRmnNPIBdskTqlyKOa2Nw1ch70yBkG
zHFrgjYD9L7U2t6CnxKqDRKgxO2ba6MXfoPsMs4fx+GjQo4n2GAVwwXzcK/Q/Y8xMSgMrCk1Gi+B
4O9Zo7V9pB3OhmhtdD8wFLs6KgoOx5sGQdKqelNyvQKAIZ9vlijqNkaP3wiqV3zHcARW8WvF1WwY
ZM44mFvBPwwiPkAF89ZyDCVpK+u3LVK6yDmn0OAJbvooxP1acyDn9LRFHRV98qQWQYL+LiNtHjgF
qwEA9O1bYb+3+SNgzo1Oh3qrn8BcyvUuax+dEeA1I8p6yI0fpXYVO/nGnD/UinckuXIAEccpPqbM
dPsee4nyNRkJLgekdXTKF1rrXzDjHWe8KEZAh9XxsVY5jIOssCLfGdFTaimwbYcSLbCC2Vk4QD+U
OtYeJGdyhE8N9oSiGuFAYKsbFLoJ7oT2GIEYHwasTdpDJdnA8mgz6O/nrL6qehy8JEXN6q3tsEig
yTAAfCRwi+UUxcRtDFmyNFY/NjamtMe26xYzlIi9XSqAtCfMSyO1snNZoMl2Fr9aik1bTXj7Gr/o
0WsU21FP4VoCWCqPTs4bGr2jknUlO0YAy6NjP8sOFxsPQ/nWpKmXVgclfi8S36anGTToFJiIWiMf
P8VqbNKLtKI9wXGCN63hwLIO8Kh7fYsZdoi/7OZDaJtiuUEx1q8fI9LGnsfNyIgZj9uo86cF2ZIP
32UZw6I68a4pFpiiq1TsKmOrvWIR1hJKw08sUew4yG00yIw6tAWhLfbp5I7RBoDoZx7FyWj747RF
H5Ypm2b8GIuTI57R1EZokJF8zrBolzRQV5gPjDo67ZyjF/U3cXUs9HsKcqIpwnZBY2x4An2oncMZ
GfyeA/T40yzyzZxs03E7kKpsLD9xEBpJt7p8UKXXUUKTXcMf30Bp94dEPbXLI7aRqEVQSfU+u1NZ
alTR3ayfSqaegcEfvbvr4CobLAqpYCuS+nouNqmJdYc1M7ATfT3AdQrMvHLz5oRftqd8B5g/+VD0
p05Dvri8pFg1Km3f9xsl2rbzay3RjHPqbJQUzhnofKbfMEF12n1vU4QGNTKcpv52zq4wZqstzqT9
KgU6tB37elIPyE4zg+1IdcZwHGUvC/jaotnEC79+g07x2Gtnp3jpxUMinrPCS9qQBn53Xl/V9rkz
gVY45NbsqzUlg7o1Z85BMbJYq6/YVyY3vBS0WQBExjiqya8WzRdq4eHZSyTrRu7TYM6mLViwxbrW
EePNMFbV5wSVYfpo9D9GelASBu1ENt1R8Rwt1Ntd2UdelSa+aO7xeEdT7cZA35VUCxU4ygOHRe0J
0VGcXCmWl9WB2m1jkK7wRBxfnm7bYV+Zuk8DX9DBY19PckeygreIvibkZT3rqijy4kYLxsXHu5Wp
QIRv1elTdW6ROlkN/rZg4mRIJLs5uS3XPTB7c6QUf91LYdTd9XpQWyc7vs2B5iOuGCHUgkIGpENX
DhsLnkj5plpuVrQleWAvq6cA61oZxnrnukKKI57y56V60dtXyLyeyuDerzESg83Cos9Rb4Ye8/wx
GW4Z/YCK2WtoNY9x9KGa70y98/qs67LXzpmrkamReQ0rk0Fq2M3VrSE0f4qvF5VIsq9UIeBBN8Ih
AXp/AJxe95sWtLziSSgE5IdSsLawgxVz27pcur+vx/LGlk7x8rV0u7FFYSO/RtlxmYKIokFrePDh
WdO4lQ0ONP1hWqGkfyjxh26/0Dnmx1D4ZbAwGn7KWt4MwAra1luMe208kcxvoP7vZUw4cE/wJ7FS
Y7G7QB6hoftcjZtUfwWXL2TPkf96GpLjsG5SAMX1epSqx0HbKqj9VKi6WC083mhpPJP3qOxj070P
I4/SZV3evpjLh63crl8zboFUv+ubQzu8TtGZVjN8LXbzZQDUoymoCc3xVEdvBRKfHNBDK37Ycwvx
d2Px0mou80XKpER9QjEfkE8V3SuQG5EdR+2u4z+/Djjk0BWo8pVU3s7ilNJXVur6SSlratj1Fcg6
apcXdxBjUxuHazUFedWfx6jYxnKzdUZjX05PqzIdp7HwtJ7VVbPUd3TMXzHHXYm1vJ/rxhtXRF70
gybd8rywfI/wBMaTcmAReGdh2IGjs1HzNUyKeJvoybPZd+9pZ93aGSEvmBKqTY9ScWlWcJhlmuqO
KX9nNMpDttIUJjVbkbN/Iq9j9l+9BNMvR4epNZ7RkP9fcUTkHbs8smqTEwxOsjOi3osZ5kaEgLo9
efpyGdJQNCKTALYMhJD0nsTq3xigr+N/teJTp8fnQhSPZjIEizYHzsI6h4WsnGgmTf64MddFhAU0
2jpKvfoivkNzNOOnlExoOxIEqK5JPQUcXiUl/iA1JIodfxLUumXhG6NxiitENhGjYTMGVidvI/Ga
jzI+VX60eLnV7fmQyvYhEfE2ZuazNMMfnOkNdHOoJOZDnZ4igaYd88FtlWzslrMsAGP5zkKZ0/BB
m62qrId51EK5XEMnO8zzAxQv4O9+6ahuuXwYkIvqctqtju5J0I/K+aYGFK3cL4wTDc/qzJq/b+Gc
q1dJdLbqN2FgJ+yYz5rrVKAaDSVhuWbL6NMNwEhwqogEmQir42TXSuaWYIgn7GfDfKA1OdCk3rPw
QE/i0K3AqMVVTp/A1DEEiVCxv9Kmw66esSXbj8ZxyPOgsnN3qI+2cdG6vJdz6Zn1VYvo2Mzu5mh1
F2yqeflSpoPb5USYrbfaeVX6Y4lnYy6/pPYqZYEGd8HXHYjBGet32NisIACtug3LQM3i/NTUPM2a
CSGjUDorUF4TVHo5DAlV2TMLiovHBtuV8dFGmIeZImUGtoVjip45aewr4E5SOElYdjtkGcqmLe8s
1sYNMruMwEGhYNRFe6ayipu3UcneMcu8idnITnsPDpiXi9yLu6c4ec2HL4OV7VArbteqrHA3WS+7
Sg7pH7FR3CXBWEremGWsvj/GkcFLoIzPLyMXLk8k7o9THKrjD11HHrjcV7Rh1Ce9O47R8zS8zWxY
iIehi5+uDEl/GBP5rBJ4X+02NOSnqb11mM019VqznuryIBXtRjfwJK/3ovgyGbLSLuhnAC7PY3lo
xG0S3drRSxe9reXNkDxKhsBa/j4zTeqdBc6CoPP6hFPHaSRXA/evDKDX9Y/Wvp3XE8Nhk5PcXbJQ
1d8t6U2ez86AtgAhEiBR12YBORfxU6M4OGq6Xc2i2E5LCFvN3qBpOo6vyvy5XDmvjUHpGjrAp1yu
rWspmftjNsy63yts95CdzCzeRtTgfOg5xyqmX1vM09X0INXv9mKgFHnRijNTP3i+KD6brDakPEbl
eSBHR1wayxhKyaXciwy+Pqp6fI1N+WMgLhMbrxnjlhEhr8Zwa3WeUDeDcpwhWC2uYZ9GB/zOk06E
Fv2D62iPznxFV6E76V+xg5AsLwJcmDTN4AjE4GL6M27GRILszndtgO0seE900PlDRWobEXe93nES
cRirLrhQz2DZbXRG7QEaoTni/MF9w0J0OqAczKWYlR8XmVmJmCXwoutsPhGFgSK2nfrO78TXWPRB
7OwyosUCcZN8EYjh6LJVyCPLLq2m/RoRUEeW0oM1RLUBk+VdMIOtZ6XgXEDs8u7Uli/KxGzA1qTM
j1Gs7bNB9ltD7CAdskgIBTHwZeSBm8GK4erOj9BPmu4NszoLZsW4ZTPTTawMM1z1mWfSozCqGx0G
0+UPqJerTJI9O9rP01c744ArP9f2jqKEm6gZOx8KgTZLB+kwwB00kZTWqr7RAL11UYtdk2N01cP8
mjSxWzv+OCSeU39l6a0x+kWxX/VNIz/2CetCJXSQEHbohyyTtydo2ydqBYDeKPyzash42eCzLZbp
Tjbv8Fr4MhvXvN+o2tG2EeHq71Ia4s3N+89Vu+sH/A/YB+l9UmYcx9Epr+4EIwuAZp+CHs3kzD0o
BNPXGG+CUz4Nqu7G5dkY7w3pUVs5r+JcKErunPi209jmglKTPnL2LXU0bpSJXfIMqPZTlu6zGhlV
a+9KC6rrWiB4CFsW+Gb2bHVYFaCjaZHtlnIXdGj2Ws7EyrwJLP1WrYjlKQ/6yrGIbO3pWXRnptR+
mT1toPmTZq1JuokbxdPLryRSvNWyvKnk58Y8xSOjbiFOtdl+HZ9NPn3Lzh9gzsTLAdydDf3L1D6O
6q2e3uc1U2Jz0gVLqvSyQIjQSr1PQuGDD27GXiVV22Dhj7bHTx3Pl3oxgFavpvS12AdzfbksfYHS
lulep43a5ghvtVlrPpXisbSuFnW/pAdkFyn7rLZeeF1CWRwSxnneSNR8tTBcuQDldRH56S9x8uCo
tPJqiFNYCTKAfrX9LSZZFo271n4EQQhR/qWTGpjh2xGNsaphPKLcPKa117RF2ONS17ObotmRJHD7
qmHnRNU/SoK0jr2K2EzVnAz2ATVr/n75tGfjrCR5aNafev8mk9ii44umsXxbacUmUnDkDd7ECl4k
fMOviJlUHhp+KDnA0oCMpAdFaLvyZY+usx9or+VIQyr73mJEsfofXctypt13+Z2O214GGFTy2PWo
9lLtbh4VrPcjxqkxTKJpQ79tiC7RWbAxYVrMMpbEywzJiw0Np+INnbgy1pNIfq8zwmTM2BHplsj0
TJaTs8VwgkkZQwRevoO8pm5n1KG6nKx118ysj9Ce0TgdJNYOEKgrT4+GdpidGVVwvJFSkCFnY4Gg
PGauYhGmTAND6b2OBYExVp5pG57BrN5IDlsIhyoLXQiW8Fvw0YaIfTHdz11MoUIN5Ar18az4wh49
kWxygkmizThBK3ZG8qxZqKQSVlz1mz73QW2+yixtx4KU4eVEs8fMVhVnArEAqdNw0hxPXoAsQntW
poMZ466dL+ca9KKN8rFW2E4WHAQe6vFezT9iWNBj99zGtpfH4AxLeofjiHv9tBoFA3budVCL+Vfs
+ktgIjzn6HfG6sYWT5pyFt1l5OYRvm3EmWVBj4djkpg7T/Kyk/l6wnkSyZF6ttvjGxRO5i/94g/9
D9ELDnMeURu5Moq7+ZHt2IDjthecEZe5N2NGoyfRvJUkAu09nMicBda0l6QrE4kpiGXfcb4S3q5K
OG6if3TKbRYfEh7ISnzyq0UIp2HIi8tOZFNxWLHmtwoPSN2iVMy6DUTTGw5hA1v1WfR6mEcajHZL
9JCONXsujp60a5V9MO+1R8jrsvfpyv3EtkiCGanwBh/76ZRbwjWchfOTD2G2bncZgcyHMn/IpAfF
PAsOO8W8VdstYcPVbySICTPuSGGhvrkx+mZfSGG23sPNRvrzFOc3dV0c0+KY1y969/RXPed/wY+X
dMn/H1h0/7YUdfdPYtHl//pvYhEqLcW2DYPeRRMwzyVJ+S9iEbV2BR4VXc2yoV/Kbv+ybGkywCIy
LqoswyChKPzf3Efnv0wYP6AioWdpNMn/W1z6f4ROLlSsC5RSo4tKp8WJOtnPxcZoXYp50LptW8uf
tSh8TpE/frol1/+3qPYzh+If9e2/LkFt0XDoUmVT8/dLcHYtNZ1YuAQnNJVDFeuybFyXPxT1fnkZ
naA7d+0CMb3895++Cc0HuT5aXCaV6h9xqiAbHe+K1t78B9/mp8t8q9ZXhZSyBphgY+r2oasLnFcd
GPr1f3iZb1X0bq6mSeSi20qNfmri6EZbsyercP6QPbh82r+VQS+/zU/f5lvhVx2qaIB61F1i2d5i
YzzX5JMuVQtm42T6d6vof7/Y94Rk1yfgbDkRpfoScJa14kd252y3zn9IIPwzDfTtQpfi70+PQlzr
hcUkAJ6ZPr3au9ZdorAVmbz/4FGAa6eS9sYN9L0ZXFfNnHrk2G3tVL4z9fkj6Vm/xuXN/+gy328b
cR8sajmXWcwD/tXVQBwn/vDy/HIYMAwQLjTDQhD59o5Odj8okdN220yefCUK2F4Fv/8Wf7rCtwe6
sDLVWq2Ow6fcgji9ZNsxHe5+f43Lp/z+NENek2mS5/3HxPL33113xn7Nc4aApf2ATOM7zIDJnHpF
9d4nL//BtQiyXEhoBCa+pxCHfK0LodTdloI7Xjk13rJ4dHLf0v3fX+hXN47mS5nn68Ll/d7iGudw
YrMy463R5J0u9b46do+/v8Svhk6UKWS4QXlBQf02dA7UQJwsitqtNUo3ZtUh3Zmul3ENf3+ZfzZm
8F5iVDHpXby0k36n4xkYHA2FkvO28dOr9dhyaOhyAH8CONAF+bWzXwP2s8XJukYE/7LEf3hff3En
bYhWmqmapnLRsPz98ShMjsjUZuFrJhcOd8ZK7w/Mrl99Q4JcvPkc25tgJ75NpzgVCUbMKxVBGO57
+arzjdAJi7DcV769y56U1/w+O0xXbUhw6N9/w/527W+jXl7ERlIsXDsSt0X2xBnnH+7fLx6Tv13g
2/1zqD3l1qQ221o7wUdxK5bnenn/+4fklxdBkAbbWgf1+D2KpFi9rkvm1NBEZmBr7tNtW3aIhpOn
31/nF2MFnCOUUDQuwHq4SOR+niMkUx5jK++arWlf1eKdM3t3tB81bV/EP35/pV88dlwEJxHSN5kn
/9sc62QYGqi1NVvLzChEZYRp/u18Gn/2T5f4nqbSORE1ooxLZCO17UtzQ7OtjObYx68G29zff59f
/UI/X+zbM24qfayoStZsJzPfNcuP1qLeO/0h7fqLhQlvKItjlaHPhvvz959H53Bf6Rxs8IkshRgl
cYwPL5XZ3uiJHvz++/xqufC3a32bmpS5bVUEPjW95/WXpaGS9+tNcSahRDVw/VMf668eh5+/2bfH
gSZjIVUFBQiNOomKSF6N/vAK/SPNd4GQ/uveqd+QBWD957jvuUJyZA3Xv1V3ahwA0tr8/r796g1i
EGXSME3awO3LT/jTKgs0fac1FuUo8sB2uc8iyg8uXCaO/n5/oX92Xf31hf51pW8/kNQi6BIKV0IN
H8ZudvmLn4j6s4/VKSz9JODcMkBB6sUh7IU/PPD/7Ha5XF+h4itfWu+N75ukOO7Fgmq1psGoOWa7
Nkg2q+Z2tLudtUMVKq5yPOeHJDR3+UY+Ux6ZPTksWHO+RbBZOPqAD/fwZXuG/6eP9suHSYVLxwma
hiPg25A88YawAlV4dPNmR/3Xl/X339/8X73tUJOhUBoXDM33dU6URHbvrBTcW8w5QrtpFOmQOn94
Yv90kcvX/OlRkuckykpppapP1bfpULbzKBmkcH7/XX75Yvz0Xb7drYu8RR1rvosv8n334lSQF10l
/sPjSj+6yuf9thAFEG/pBusMjb99e8cnMSPkNSGIglPnTHqMD60j+5CitihP3LJaHuee8Hw9WZ5a
t8IXUnPUcQS3hNfmpnmNIum1IBYkcBLoBN1WucIjIIJaS+kyqO5FQzIhbyBx2B92Mx3Qg/hakgjq
OeLJHsQz7IRXg5Bd0dnPY23v84mHNtW2QnW29Cts8qYJFeVjtR90cnsCcmPK4XCcO9fRCnhduSs7
PYHGQ5htVCDLV5NRluQTmlsVhfFmQgOzbOliH9KXYXCGV3qH06tSyZdyM8XxUriJtCCTk2ejzK5W
DrfqmfNKq14/osTyl5kKnYg3Lbobo7EekcWBfhdwperSW6KJwp3EWfJUs4CKDT921AEbiq1vZyf7
FH067TQcEEtMiVoeTK/UzPdyXYJ+HHs3lu0SUV55Jsj4PCVl4Nhk5zg/7mydMrHqtSoJVOKwSXo/
klyzyuJQp+0GWVaQqtzRsvRlKycnodIzQlFvLq8SDgjLeKL3x/BbAYRU1velUj6iuoaiT1WesjVS
ZGkKSYpSBqpan/L6JcW1M6wq9dUiZ+RQ8UFX8X2d1P2WriIyMxi7V9O1p8g8xwsKIXmhpJEa6zla
x23ayqTfkrMEms51ssmbhbVHm7NtNGdPmvDT1KDSslMvS256P2LrAfg3DRvNrnw17h5aQ/MXZ9xM
i+xm9bpDXxX2s8X6ALSS0V6BP6YuNnzMg74dJDtYMInnBDAxx3hj/KjEFmfv0sGEHOEoXbC0vQfe
nxhxf5S61aMznpLZQbWsDWciD62luaUlEVXUKLJklNU1XyTT03wpdJfrFuXXNkstKm012cNzLyy3
xbCz8uSWsbopx8exn9AKLASfwWuqpif0KBjNJrQ0K0xHhjb1LbNgtNexP5KBlkVESwYn0pW0c0rn
uhmroCyfWmt0JWxXrabuu2j80lPtlm2NZzk05tTVcyWr4ZouByrTGyW+y5ToKTJlfyUZV6RToI4q
bxKny7UZ6146x36ZovUDoDSSO1LS9ZjkKYksjZ/kckxedr4tlTtrwXElUGxXyV5NFg9Usb+M1T43
CY6P67Pa2vtZMU5lh4aX7PGYdu40UzZXQMpncK6M5zbVH2QLU6Oqhr12ajQeGToolPZzGNpw5Mi/
qghUiMYXswh7UV+qRD74JXe2Cz8mgprMFOezfl/yCosEpgROVPzwmLQvzEEiBdJ5kB9McW2TN16M
Cn2a8mLa8SXDTLWkck3LCCyQZ0NF7iUjIpwtpyhL/KXI/QXGkW4XtwO5snVUtlo0gSL9LLurQmQb
iggB2DY3tSo/RtSmVM5GM6+LVaIadFbHizORNyDfzrbwOv45b95j6jQ6RshaRG7SyMcibd21R5+q
WT4vbTCptW92b4uVbuI5CiX82p3d+nVJ2Zp8oWauHMSLrT6hEOOuz+MmK18GtQxMgwcHo8ScqT4I
jj2Uar+x79Ne5xahSDJa6qbERJWHOB4PUfvUYUAfnM/CxOeWaIEslh1Bh6PGfZ9rmazUe0VQqiDX
bHP7Y55ghQKWKKkxG3FAv6lvNrlnyzfNskuqYWt3yVbp531jtoFuagGJY6/uydzYGVX5mqc7IcdD
STmFqUNdtF8s8LXXEnXtS3qx0ghTrulVm1t+1awUqe8nRp64m67UODkuWbqbooQMrCDkQySXUJip
WFs1I/4lKScOj0NHrilzqkHUJmFN7HXNKyJcdkjU2e7vwY4BV5Mo6BOu4bWOhXSMVFIb1HoXud80
g/Azvd0Wa+3n3V2VJd6o3eKfBCNckL/l3+JSmFmNxfhKcwr3uUT1anBHCiBtS4qoaJnHJHdRjWcp
bdxOUrbMgr6S64GdPxUSJrph8mOZdmXjlh6JWlZCzjcYbdV9a1auRIYgy/Y1eaIyc26HmgasmNRm
Gt2VcrlJl/EspYtb8PUqYbt/RUeFFKxkkGdFC625PPamOEnLRNoi6wJlbsIsl3cY6CnhPscq/BPU
WSbFPklR/K7QA7FaFKV45AqH8HF1sCx41KXsVjR9ds1XKhFGZfMWqTNlYZuiWn6IlT3NAHtJ4edW
HZejpwcUXrw+ykZjUFYaHl66yKbParQeU31+H43qWbfGsBszIp2am7QzqRfTawhRpAQGjbkL6pif
lHC9OZC91dTjIJlhpM1eVxr+bGAMzyFhlw4fgPttMTzOkhuZJq6y/JhPM2TU7Eqq34b5DmfhKary
YIhV4l33BW9wOzEJMog2KCtmffTHuWKeWA8SQV7hzDsCTwHJtONSHKpldqfqi3Cpm3AJi592BTAm
y8LNSI5m0aciqdd1LwdYn7a1vISjaMJ4eTbGp9WsEEPtZ5M0DuME7VP+qjJU48IzTZkGlTxYlx/a
CE8rjXfEMdq1PauiPuad9KLFI4K6PhT2zcTIXBnjxkKXNlo1nRJfknE/m8ykpeVV42fS9NdGKwf9
KjxC6+Fkfo2CzBbx2bxWd5O+3ijKfFZLHnKtPCQcO8uxGY6RvZ+o08ZFgeIQizrpxVKjytsJUuYT
7U/VaSWBr6O+07Cucr4fNFRQZflF1gtutRFEhXQFL9Nzmh+opSn+1mc0jmzoJteasyNI90AxOeTM
J2ISylYGKmSIs9ET/jDMrSqTGeinoMq4G63ic1h2mw600EvkmKSRiGYeLLXiRQaIkNzwV70IGn5K
jTSeWHj2433HYWM3GhQwe78hGKXLRNWSIBvR6Y2Np5Wm3+nlSdfjTc/EkEUErIjuzJlG74TKrhPH
iVN5s5RvFMqLjOkuMy+Th3l2GCW1gd1K+inPsxcp12rOWkp38yrzpKR1DXXZmC0NW12FBZL5bmzu
ErqCatLvupESa4hfk47l5pCAvBoJHuZuP2RHK5/Jh2S5pxZq0KnkpevFjycpoC3qqdeljPDXSMy5
L/1myralDbiClapeNbxg9tnKSZfnuRVqRrqPwEy5SmbscqPd0AnhAeo72qIlWhcPDCDTde9I+6Ia
Nr1JUK4W1gmULp1ZtHzEmgjz8pK6JXcvDYPflM1Dk5rbMle3FjkykZ0lRwSd0R2yNj3KzGMpxeea
hg7EoMOwEr6iQYFJWeEF6k2oqBiQuyu8j3dCXa41nZ6sgcEQh58eUchvLW9JaO+wuoh5m7J3dIyt
jrEU12biHLTRChVZfdLZPJoVHsk28VIVyKC+utOyBBTqyS2W1xoFaQf4qMw0P6b5xqpYrTf0sThq
MBiPZfKy5paXVCzTVvsMcCeY8plw3g3AeTRRrPMtR/KLKgpLZ1exrO66iUUKPOWkCeVkuUFDFtRR
9KbFL0r5mpa7urhMNSze1KU9XuCzxZyEkdMc8+yARMrVmhMyUdJFyx6gtltORaAQbmHgJaqoAUPn
GKVNW9+AO+Way0q+v3NVjfyUYR9w4e1y8pXtILH4TjbJSuy9SLbqRBhxzcOi+TJzLmc1O4jdm6Rt
iaxIfhxLfhbTQQEAg5J/XYAit8knapnfV+uhi5f3PrXPq977ff6WN4D95viI/ZBow2XI0SBhqy4d
TMFEXT7NG/TzJMdjFt0dAyvs1zxNDyb3mc2vLxNvB1iBaWpX0Vkyyzrj8SVajNFRNu4LeSKwroSJ
yFxMQASXTFevCYJPIysSZgz6i2iAyMPZWMOqIWkSDx4ZlWObyuEo/R/2zmM5cizbsj/USIMGrllb
Dxwu6ZJaTGAMCmit8fW9EFX5guHJJC3fOAdVVllVEXCIq87Ze+23DgGEoW+HKWh3rHY5NaeGBqmr
77q6n+sZGs7YXxXKeC3UR0L59nrfIJojwVI15wliLR2J8Ixe4VWK3sDKekeP/Ctkim7Llm8097Kw
HxGzXnVYJCIQ9gWnJEm15pb3nKrSQkisga3qJEM4N+IXHGmose5Kjd5cE97JUrloc4UVGLBkieYJ
H4dIrz0O0AgJFxLGiLgJFppWrSwtm6ftZR/Iq9wMVpGvLlU5PNReduvnUBo8hPNu7YRy/ZzH7AVc
ssDYoeYGAiL3vUehHfbFAiEoks3iOqlQQzVPsQtDCAuTHJtzwYpUIDWshquAoWSMj+Y0UWjxPEOm
mHEatDTp1Nhi7bvYVcp03tnjs2vLN5JIVyrbSYG4rCStptahk4bhWq4ZljnBuxKaLQsGW5pO7pdT
U7JjTNmg2WyE0OUqzWOk31m5OPa+whi5HxM+99zmUYxktVozNUBzpKGG1WT2ae6ys4J9Y5pveqtT
RLyPSDq2U/nUKo9qdCCs0+nSYmYFnC7EOPOQjoPzn9vx63Srba4uI+M2Cbmv/Km2TkOCZ6h8FRVy
R8lERDuSi4P5uH3u+remBs2IinL0kPAWbKgBiGF2G7BMFEZ7TLMRTJ65SKgkyK1OlLC+U0ase26M
teFFdmnHMwCbcN8Gd16drkqdKVxm82npNyrS4JKVWSfzMEKO03A6Tdm+Sq+oTBZ4sZzQGw5W3Z7s
2MB35q96c5f5lxpKNri6K9m4Qy6PzhuTVaatxjjYZXWxSFg+Gw6fKstSV+L4Q6jZYiP1oqchprE+
tuuUA7qbvGbcbm4lSP05PSCZSlu0a5pdcQohjEB9NnXDKWztDmXDfS2nex2Vqdx1i6AkL1oF2tai
00+ZGK6K/k0h2s7y5GUovdXpuJDznkXvhc3E0pCKuctczhmI3GW0qW7Lwb3cKCOrcJu853HJZ6Lx
wthqhdLcZnetadGmiV5dBbmOTNXC2BpZs6kGdT5ayNtDVPdK4BgdcrFammdUEOz+OOABiPkUjWnK
4HzHEk5d807GaJhjODRG99qeHIiZNh4yv1z/n7T0SSYpEflMQquBk2OtUKCOlfnPyti/+p0p9/zv
9Tv4zZ7jv8p3pj/0p3xH+YMoCvDXtEd1wyKV7pd8h2i7CaooayprlbB/z3GHK40wQCOalaYP9cH/
qnfIh1SmrtaUBavTB/1ncWOf2NjRABFRCQzWUGX7PI+ry6SwKJshYCaTTH9eWJ2Wb90halcso5aY
tbJglmryLP2h02W5KUyz2uSxUa29yLzVB8G2gjr+ddIV6PoS+rGV4WFdt+XoJkiDtxD+zUwqw9Fx
sxKkY1pkay9hsmPToa9IJ5q0ov1QziQLUborKvZM+eiv3Ho0lrGtpBsZIe9kyXjI8SBsrBCrCYGc
2HAkRrzv4ucoMK+Qfmw5jY+0wdPcFHVhbZBsKd0gYpVWldCPatXeUoEpVmU1VDM2ufuC07MTZy2J
sjXclaB4sSMXV9OA27wXynLIjTVxtQ3CaPSLinnRDinmCcOdB5pxMNIAK1yH/LiyNYwd+jajPIE5
FVleHtUHK5bfwji/QRxzysLyNdeJziQw6qqTq21J+KsUiUUsmxdJRdltDCfPuygv+rK4rQTOKllS
d36ZXA2uvRuFWGAF3rlZeEcZFScyadQpKZiB7u7sidAqJ+rgZFJyKsDSZkl8NNL41GHxINLtaCjZ
TVzWlzEmNoErKKNW13XZtTukTp3J92GpXAr2kXzFL6ELcKpID31l//CadGPV6KDsaAe+ecOHtKqF
+4rIUHJ4yrhcRrVzEtnzVq0vGdeSrVMRLFXpIXdD9SV1ZV89lo3UYCfHFRy9lr2FXr6D8FEskXEg
ubfbvvWvI4v30rlYTHIiFftOG5Z8VS9phag4NSgNKGbpBEUO1ijM9IM9NLtADfJbOderqyBr25c6
Nvu9ygZ0IbexydJuuRskttt4MrFTNOMcayZL26yVh38nPmYk42dP4u8nvuume07Tt7e/zn1TL+PP
uU/9w2JiA81PH+O/udS/pIsqskENOYfy5//0S7qo66SMC8NEUkicNF2YX9JF21aJNUCgrMngbv5R
rCdtrr+0WSYGJVdCwqhOMY6/t41EkhL2nBfpWkMa1ZcJxAUjvykLLcMjEd1HBSbIltqvlyWUYSo7
cMawu8oCqgDgoiqQRl6/0KbCFXHOz3bFgaQZ7y2APIjgK21VtLJxq4QDcRuuwlGv1Nq7qPe09Lny
vO6VSZOyf566J600qAV32rOfIsXt7eAg58YVCjqi3hEsi9q+UQWBAnkaPNRNcWzbMV+mkDtmAYcT
2Rc7ROxwNBpCetW45Fytu4RWqydu4Yqq4XUiUAJK4YoMgzl7PxCLNW6x1KuXBaWKyuBQN1gcp017
XaSDE8S5k6viZDbjJZa2rRZbCJTVVWanJ10MnH/ifltwZsPsai08NappSu2UcqdlFPYQTQnvtkra
NyUcV7lfHISfnMBlzHt12AwxpnY5rjCxZKtSylZSHC8C21qlUbc17Ay/lHiuWvINR80KsYxbM63N
j5JL6Go/UGktkyw8EAO+LIfgEIfUlkjrvkbW1nG2tuBEUIlovOyqm1IRIQnZC1fyOeob4aNHIXFn
9/ZzMcAPjPr8QR2byYubmAsv7o9slG7SqSfgdxQj2ngVDtSI+hS8rtDvzRZDnNebF3GUn2I9eLTb
8CnVsTeBLgO8kPS7LOuzpc/bxnQHRDtuqqcwS45FinWA2hTFzwaTX991q16j5F/6SMptjGOrrKrT
RUXG40yphmLvEikLjwRXsmAG75rklab8jVXzqztUltA4DpHaXCZBuyuD/EdbBMdYCfDMjQGbYL9r
NoPgHZakNlJEyd6ruJfmME+k01hX9c5zQ2VWR15PBbHcdMLvVq6ad/t0AC9ApKU3b/uGg1s1STOi
MsbNVcbLzEzTNSibR9/tUbO7eOcHIg0S6Bwb10aXWaSmStctB9KgpNVrH6DPNzxP4YiTNgcpku07
fyoIdYUol4NfBwAfzNtIje+Blfoz3ZtKpqXUH9N2cs2oNCTNqEjnBQHVFB7cV78AJdLHMBnqWDxQ
lXunPP5mNpCNDcVcFaTxYji1f9QDwgUvGNcIeJJ5mKmBY/p2d+HV3bGibZal46arxytq0O//rgc/
1wOLafjv14Nj9Pb24mc/PlsRpj/554og/2EirhSouBEEoJyiUf/niqD8wVyvWsTvopNga8uf+u+K
QJoz2HbEi8IictVgZ/xrRTD/mPbOxO6i1yS/w/5nK8K0Uf/YeDfkSWFu6ZN2TBcoNabG/AchASW1
WJOMfqTpaZAYOXaa9N66IrAvfUuv7LXV1lYN6VAq5EdoMu2F7wd1vhNd18j4leqAYndWSVBQkkyX
8KvUOtVykQXbqvAX8diWsxpPhRgoOftCXrZttY661HDYTh0sP5oLzZ5rIZiFThFLPaaHrvXdCVdT
7mSR+tYM0yazyAns1B5CSb3IXEz0EtlJSh0tfbO7TOX8ZOPLxgc+1/OSplGu/yiCZCml1WLss31H
o8YKoHaoycVgdrPCr1PsOiBX9Ka51C3pwSroFkee9pSJceNTQdQMIDGmsh7DYC3kmyENlyLW45UF
76rwtDn0uTsCFe9rqs94MR8SOb5rRHmTW4U0q2VCN0pIBrZ4opM4R1/ZsGwMJ526ltFTgE8i/Ukl
shfvjreUYu8yDsw7n3NHFGvbWi9OQybvqTgt9AHzvCLJe1lNtlaXqctwYDucy8GbqY5L3WdqqYzb
TqupD/i3dJO2Nf7+soOyEpVzLyvW8Ddo33orMF0YkLzppALrOUxPUL/BQqgnr5I2mgQiRUpo90nB
SYUvQNPhNWnKYS5JzXvmh6iiBHKcOLzFh1BQd2oWoduBBBphohRVyxsZnFpvxbwwxa1RBAsq18e8
ARAQDcNGVgi6bc3HMG8v2qxGmB39EGqIFVGKLgJZvdWTfjPIHCWSqKQjGGwV3hq1qwqLvobtWnRs
G+CjDAoEh6h55aizo2/1o8er2enmpRAV3d6ctsbgJDG1rswu35GbruAuPrbsAQrJeKmCaqP7Mgye
YUlQK7gqCfN5n9UPXWticXLt0tFrsUwzVrciKB/dUDhZwGdcRe8lVlWe57aO6J4Nym2dW+uyIVGs
L8gjrWg5GQk6h3Ie9+7TYNbYsTEQqkVA1mWLgx5BCMWo4VBL+GXjNLz0hX9nhuouqeIrkcTrdqik
BbCty1hY0GS8ch+pFNXjft5Z+XOJKKOso6tCuCfFijh6qPMBZDeacATi2e0YtYdRjRecuuZuGS7D
pjhQCvkhfDuZ+cNkAq8iZA6juip9zqBt219Klf3UFflq1HN4eWVzDJBPzLM0xjtmKJsiJTnYK69C
nhdraezDjmmDQfqvyOjfUsq0kf/7FWRRvTwnP4Lnv54opj/35/rBdM/JRKDA/jnZT1lif64fLBIa
qz2ZxpPSnUj2/1k/qJkAJZUNFFUWKjx5ilH4VU5hyRFsL4hsY5+i/SMzlDYVZj6uHxwlLM41mLWm
oo6FseP39cPlIAScoLbXQwC01oktKc+AJ6gGysK4KabNVRpiHha7QTYWOt7RRVgP8UIbXDIHkxaO
Qxtr9VPD7Na+Wo0ZwNaS6mwZ4M3znNZT6vQo4+xDAMCR5smMdZjZY1HubHBaey03bJB2RKDiCWyx
weqNvzT0Lrot+auIFrKr4aU1K/Uy4wnniJdM/S2lgcjJe8CvGWhQdMrIPcWeR72XBclRm/wUQfHj
o1/XLfIFP043hRw9e3Z8tBXpmvaAsUhy/l+FLs0iMyac3CYwoDdptrV+U2/kms1dFWeHxrDepVps
ca3dJpbfzAy5uyhNVkhfLVd2mmzybiydqFJXhagu9Kh9aI3yVGWgcwS4mqI+6X1/VzTmDekda6WG
zaWN+8GVFsOAC1wVwU0a1NuxJVQgSxaF5c/lOlxURrJF9bBqZLGg6DbRDFalBWcHwVQL2Sy4dwcM
9RKSGFXbihaEVd2nqKGK4eSLbuPq4QW8tBVzGuuTdRzxzGpev8oM+SYdgptMg6hr+4XjFsU+CIxr
31QwjbuTBA1NnVSvOhRFUolyzc03sk+dW8CLiTI0M7rbb+LOvJAC8qBaK37UKt6ES1fIYZdBllQV
XEuJu00D0EWa5x9D37/qOnmp6OUPj8yEQpNvKPGtxiDUV2VBDzRD/hMTP62b8XF0zQAFQ7YP6tCd
uux3qWScLD2mA2lViFk0xZHj7Brr3k0p9EctGPcV5p0wgAbnZriUIfKiz7X9k5ajt0oT7wlLORFO
5XDpJu5G0l2UC0a0HKr4KcrTJ3eC86lSddLc+qKk+UzrX3nu2hGqvw/GQGOnVOfqFpnxg9vSOKp7
/1VtfBhJw1RGpzEfufieFTe5M/Ux2KSTkqAcwZpxeoMLJgfzVE2avdsqQpkFnqYvZMnmCSk9GXzo
MceYVlBj6ChYOiQn8fAW2gY9FVWKF5mqDBfUVgOYDGNwpfVx7WRFhFpsnPIndLrGgamQw4WSEgsl
1lw0n0sOeAF4Ds+daxIeat2lxu4Z9NVxUWe7UqckmGN/C/ms2PXReHXiGIpB5qdXUSIe3Qb2r4Zo
sdFoV4yKuMq1YuLn4o3WIwgGdb4RRrDKOXqSu1SzcYP10AfVTs7ce1sBk6Cnc9gkAAe0cFfbDG8w
RrUrPZoCvbJw9wb0gUazr/UmhaXujTBBi02ujieXIw+ZXw9sRDin5sBdFPWJIx6n3gICEVY6P9fo
DbVA+XSfVjvqKxEPHH9V+kVtom1Cs1mlMX2XTtiQqEhYjKwjvOZTkqYAMlEVkqPN6ps/yn71o/cg
A2N+fx9c+KY0by0l3mV582Tm46aWjJUkRc9y4eNbx95fNea9lo7zgCTzSgk2VWdQ1ZWAqOSOXXng
ECUoo2y8Ew63glnHGJq53QS3AbwAm49HlghTa+I1ksGnUi0pHoqHAepEWIp1gzd2Fqs4zkUd3Yna
OBZwRXQkTyJOZCccgPBECr7uwlxXo7QZmKXBmNzp8GFc6sZ65B39EsKJPz6LItyFE6xqsBmy2hVV
o5cMTqZTKJSajVK7g7gbQUCLH9vS3AW+/mS4QLPGTrwaGgApRamVlVFTkrD0oZ6XVV2so1rt4e5V
fFY1+1ifAzAQ4qhalhLvpk/DH0kYlWAaGxi+OlmpbaLPMgpaTu23zM9J6R6NJK03hQvQLckAm5ax
8tTGVuNYXiM7RtoP8zHJWyezmZfLAZWB60vdqqryAkleHRPsGEv/8V78u4OZAur/fgeze35/HhBT
flIUnf7gn1sY9Q+6NoYCp3+qZWIA/LWFweptEUVp6rRi6AdNu5tfRVGCa21N6HSFsDZNeTkfiqJ4
SFHwK5i62f/8oyOwmKTl59JzjtjYzTWN33JuBfJ8ynDFiJkl6Uv1toPACg+yVit9ZgpAv0NFjh/k
TNUZere/1JRculREe6/Kgw64Sp+rVX40y+C91g14QD3gNcosqrwpKbtIlJOGoNsNRutv2nigQw+K
lV04wgaP5a0tQYPaVYTadirpdKP5plHjaaj1CDlllp3KP63CV/6zIDSVhvoUfVg2lYuMqXBkTCUk
lgVOPFZ6Klufdbtu5hScCVMSqTmrlTF71KZyFKc/Wq91zvE1Ssvnbipb4V9QARxSykqnopbs2dRC
p0JXQMULPtUPrcmbVTYVw6KQFnM3FcgwN5QLXUGSUMYZ4uGpkFZzwl911I23VuyFO3mqvEWmivQk
Ld+rqSo3TvU5TwwGnivfeibrutgg1z9KSvmj0btdpHWXXp2fwJ7uBXfWBjg4B/RaJCcx6xoWHB49
TwT000k7j5/VuAsLmSRH/lvlNtMky127phasRlT3yU/9/b+lrp+lrinj7u+H+fqtTJ/T1+yvB5Xp
z/0a5QAZdEpVFJSI6Jsar38eVNQ/6NvqiokdhrqBYlDN+rPQZf9BUDPSPnomimKBffg1yu0/EIUb
bKYxn/7nT/2///tb7nh19s8fkQpTa/n3UT79NTKzkMmRZRrq5+cUvxFsMf21NmscY/b0I54jHFz0
sw1L4lO/Lu+TlU1E7Iqt+bFew/GJbq92t/o2uQZX6oFfe4udNSShmT/rtq/o72fsufbF+sOTPf1n
2vn4O5XJavbbbPTzd06tcOgWinrunDK7oB21qPHXLQpMdQJteRii2kOo3yQFUhehzXtxJ403X1/3
L5Pg2WXPyoBqb1DAZk+6Dg00MxOOKD0l2b50wcui+uraC1N8Y/2dek1f3enZG/HBbaVGwCWB8txI
vcE4Tla+38+hxX4TgMNX9OWlWIE+Fjn7qKrHWqv9tZcD+fRQCcdORs6WvK2ag2GUs68f5vTX/eXO
FFuQ/S1kRNhnl3N9Y1CikMspSGXaEGMDypj8x9cX+fSNfbjI9Hg/FG4L0E5KVBek6rrJEgJ845f0
E+4rjjgRvbVGeVfr2vn6mspn72xy1CumSqaofe5HHxTC7qlPclHbWFpqy7IVXxRttDcq+0Xo2UNi
DztfG7dNoB3lUuzg2+9F4aYw0IqHiH52VFn/lMTAp/vhN51nkpeF3oedztPWqQHSsKEU+fT1bX/2
Pj9e4WxwiE6q+j7HopA22mVh+1st9HZlnH/zlX72Rj9e5mxA9FrHeUTj4Y7UUtvkOSgO7H5mpv+k
6Ro2oB43UfG/+FQ/XnOaNj98RVbf1TpFS39NpHwxCyTygKzicoRD/fUj/ObDMc6GRK2FfoVAjGmt
VGZV3ZN9qF5YAThjyf7GCK1Mr+N8+H28p6nl8eGezKjUZKi+XMusF613149X0bDUlR9GMQC1Rvn6
6GOfS/t8boT5/Osb/WyqodvDVlfBwM628veLe01gVRqtj7VPZ9Cgi5dYNh//A5UuyvGcCb+DGJw1
cPRpffx4wbN5QK/oKMQ5F+xzutTj6MAh1MfygCgXgeF39tlPh8KH2zt7tiKhm0TZyF9beQ5H8VEz
GmT20jdfizI54v/yCj9cZnrKH15h7wqrgKHrrwsUlF7noUbaJ9bClB4LnDbsPiv/paQHnxdvX7++
7+5vGqMfLhxaQR6NIsd2WpJ6WEJsnLjp8ne+2r+5wUn2AX2F3c2Z41wykziwGt5aS+KIiNJda+jL
inQI5slDEKb3dmptfFc7jLJCKkO3/Po2pwLwJw/41/WnMfThPjMvY2mfpjRJUnHm1c1l47Wk2PaO
DTG3U9tjKBv7rB83WJqWLbkj2D59ioTdRSjo9qWAMAuzODR5ix5a2VF8uewScpkV4jhien3Ndyl+
n84gyq9ffDZTtQkuQdHyxOiqL6laLUOI1qIOcB+43y1zn23CwGJRU5c5slry2Zgaa8VG0MFX4GWk
g1Z0IgGNGtlGK3oUANo87RcIroem/+a7n+7hL5/9h+ueja7c40xVhFxXgsgpkTWnIFP5+s1/+oF/
uMTZyCJDhJ60SPnw+vrBy7q1b43Xqd/QpvifE8LpP7/5t33spx/Yh+ucDSQbHaScDVwH8AWWpmu9
vuCMTfrZW9MeJLFN09RBcj2r1WBWx4FTxeZ3b/Gbn3A+xhpXqGlOess6y+oT5Ud8xlSdIImON31k
XMpZvTfJmhCmT8+1q+apLXH81+aR/R3K6dNF4dfD+DkbfBhtRR6LSCv5JSaIWw9pdiBw7tEsTcWN
bd41w8vXT//TNQFIGUZ7gEtUVn4f3cYYu6aaBczS9arVI5463d3iIPVPBvahr6/16YkFys3/XOz8
Tbu1UpRRyJsGpWrlPj6Ce2Nc9DWxBVZJAyCgZnlPD3Px9YW/vkkhT2vIh4eKUFWVsaXzenFeaOam
J81VjZzEe4OE/8239Pm1CM8kMgnV3PkeMykTVRam56+TlkVn1Dd+0mL2OmbenQ184esb++RrQQao
axaSP41/n4bwhxvTQSgD3BXeWhASrATVUnEhpk1eFGXYs5N6y6T48utLKp+Mld+ueT7zwBOQM5Nr
liGYBRnLbZvbF6JJ7nOt26VZsmuaeNnH7pZDATZwCQ1/toNR/c3C9MkeeJKMqzpdRQVRzNnMi36q
p/RnwQZrczz5eISDXZ5v9Ph2gJtsZFd1UX3zuD+ZEX+75NmtczjBzaDb3lqBymqw0/ZhshbDN5v7
765yNkoEGkKrKrkxLwCZANI8dXEGtuuv36P6yQrCzSAxpWsMl+58UHQmJtck4Wb0lb3qd/2Nth7X
YoH2ZBOs4Kte9wvDyS9kkhJmrw1Js8RPz6xvpoRPlmrQmAoiU2hEFObORiYlp8TNEsNbJyAPZnqZ
H5NIOzRZLuFxVf4Xp+3frna2lbFjf6yjgKt54F87bH+qApLq+usH++lz/XBL0/j5MCZ7FEKWhWZ1
TULBvJqSSmT3m6f26Rfy4RJnw94wmyHSepNXV+3U6BWhsEPG2Ne38UmKINuZDxc5G19KDbM8q39e
5IfrXlXjoiQdQVyOleeELu7G/rmzlqH5PjaPVkKoBAF0VekYwPqt4tWjgfXND5reztmW57cfdDYu
IO9rCIt5sIMK1iSMFz2SejfITnnek5sDr0gLL0KPSR1+uBVa5IKJ8vHrH/HppIOSTkUsgVbivF5D
TpybocDwIJvZrGBPkneIwd8L9a4uV4Mb7VLCrr6+5E9C4Nl921wKbQbXpPlxNusMkTQUsTdgTki2
2hpF1TxwVvf0xGa7DQlzq6tVOlttNsmlN0sc+uQz76mfvZlzyVnxv9wHzuLCMZBqOeQd7nPnOlx8
8wP/+l5++31nWwjmEb/O4t5bUxicdYk8N7zj11f45Hv/cAVx7sRxLUn3CSTy1kVHMkHAZr54lZBN
fX0VBejSl7cC5+v3sdvaBUomWZFWdYsL8140mumkUU1nfmwKaCiQ7Au8qg82Cb7IpEJsmJ471ZHU
7GANSbogbuUCUu4xyUm+8ANGqO8pSzduGaFEpy5aJGArZP0uAYusUm0Fh8+tQFEU0csoDTdNnV55
FQqz0tAPjSvvK8W0FspYLgOXmErPuvBl0Oyt7kOPH4qHmpqWY5geTeEaqzKRawBcIkA84bMeRqfK
Jk9Fn8jYvZ7gqDVv28KljRICO/X2Q13fF6Z8pTX01jtQCrpM2HDoX4yKfS2K4CGTvUOrlj5YfWUv
BYhkciATed8caNxc+mWwtKUwCo+jppaXthm78oM7avi520rbGdDOI5E9jQ3+HS9Oby09RHn9w8fO
6xor2evihVegiRiKbBZ0L1H2YOuPZnuKtCeOhYl+iCnB9lMUWOES5xQecE1K6kHqbiA472pEcnCR
Z66F10cqZlonT6Zah6GYB7ibBYj57l5XFrU2z2NgHfOMmUkk+w5mBkIoGEWNU5NXWRqDY6nqLEye
OgD7rX/lNa9FQUiZTYakdNHLKPn7eUyM5dDfpxV8FalfxHo9T6hmFC1GoYEKA3SkkMhN0DuZuOkh
pEtU/2U2mUq/CAibDGOLqMRrHneoXxnVxtYW8FhGqD2G9qKDjofdXuKiClJiY1onMfalx3AmIDp1
92SptvXJqq6j7j52D1oJpWPZDK8NY8HFDm8CHYnau1R7SqSrLN7mJWajehuFT1qEanylam/ZsOoR
QuqPAGwq9KBijtY9VfZjNAdmaIY3/XCSw1MpcCVd6C2ZPDit8E/6Fnaqe0Pf5ObWMC7K+L1EH69U
5FRUxKHSZyif/NTxqgMiJknBTSsO8AuTdq2rO7NhqN4Yxr7LH11tXbkrU3oLA5VTDeY4UuT418wm
3pWArrZ9q/y5Hx1HM0dhi3HLeMnz69y/bkSyaNFWZATWpAAZTKDNUJmObgRJ5U7ynqmwkWh6aF0C
su66+l5RrzXrJQ0TR+/WpbcaMO4KIAjDFuEovqolikl4GkG46IyXOlo1ZKZ04oSOcyY6yCwACcBO
CGqAVrdQyqeweG+HllpHSTggcCH9lODjI6PW699Vo7rQ9HsgJ2W6R5XvKKY9K+SdIu3G8Qp+I//p
YBFpY10IFWN1/65k47ryx1kC9y3ZlSj9sXITlbaGzSJz0DTRw0zxFdLzRKDSYjJu5lG7iYZrYr54
sWmwR/UalCsM2SrgHpOe5yQDIjmhU2l/qpf4+GZtdKqVRzc4ocdzSkSosZgNyg4PvirpWBrXo8X2
roV+cd9HPrUcOAiUc5pDpKwU+0fQPSom4VlgPW589C81pn4O4OTjbDOIFni+rcx3UJ/aQcdPBeWC
NqY27/MEl2FBEtcUdPKmaPYsRfkWAunBROnYDMHc22IUdMKYhAmOtQoIP+s6LTCGg0qgKTuT5MtE
OdjFUaZqEsa6A+WnMt5oe88GdGmThy0nDQdkm6Al7mnDyhdXRrYbk2f+mjla2QRpk83WXMhbgZFP
azZe/uCGqGprbvm2513q7P4KdfqANmUIb/y6zHiDmIKYrHT/LkPk7NWrgREeaaljJS+cNwh9ugzz
inEPQ09sYO5EDUmKqISMljl+2fWHUuHbaR7LftEQVIwajgWrVqSFbc2LYSUrc0XCVxkSdXOvyKlT
GiQuXmXNSR2tGVSitrzVgitFWyQWGqfKmNsj0T/KukkaJ8/5+pI7Lzr5uhMWt4Z138jPQfceYQZv
fNg8dy7TGzAEPscuv27SN8K8eoPhe6G11qxpL7xYmRXpXRzttHZYZB3RNDDI1E3a7X3ICATAmjcl
lMAIS1fNtyebV2byrNgNyKSHFjSI2Szk4SUPn+qm3OqUA6dgwpqFrOP7I2KQWJeiuKh9HtVIgCdT
i7EMC/6pfGTCqsO7wF020XWQxQSTrfR0H+bXpTud1hZSMic5Ndafdem5Dy8bdxn012V6U8t4SYty
1pTPCVQlytTasFC1AxRlkvFiYjkxTWBq5JhpRRAzyIJoGzJ5gRZEh1be9ABAEHu2d6H/1msPpkla
XhqRuHIF1HfmEXwhtQ8huZSheMBJmQ83MAMHd9dHm6xfy+OTpdxWRJxoC0SeQnsbs6tQvsvtW0PH
3oP4gruX1Eueg1lvuEyV88Fl26w+TiUr79Xml+XVZQOlJalWVfjUV88da1RUAsBYThv45jXVL4hg
bbsfavXua80shKCQb3x1xToY6OuOem9F6ul735EBGs1VaTl4RIYU4yz13lJt2XpYK5ILq+KdUCOL
+IodQBjGQMygih9t6aX42i9EftmAlxqOPepTWZx0AjHMrajebKJDQhe21ypQbgx9Thhs7Tod2Kvo
MY7BSaGm2Ohy4Yzxfd/qrLnXdmzThT3o4CmGYxrciGbbkAhrX7fIWDQngVoy5RHOUhJWHQo6prHw
yR/XZ8HL8NIQt6KsVMJgbDa1Gz9zrAh4zopMGHVAR7OFKFVKm8A/aO1+GEk7g8k217xlL8iRubDD
p1Y7GtGqC26Ri2H6J+tDNucFSXTqilxE0tp0eRHVzvAAI4CmJ6lXw7AU/oNXXBb+Nk84yyB8cQyk
g3I1NyT8xLteOknNnVbvCGaNyidhc8C4t1yCZFtQEhj0EuD625KM5loj0rHZ+GRiKX3naMWlO5A3
deuJZVnc5Mq8KbHvxoSvGDd851r5pkyjiSQW6f+zdx7NcWNZm/4rE7NHBbxZzAZAWqajFckNgqIk
JLy3v34esD+1UqksZtTMthbVtahOXlx/7jmv0RCCfNT9d6PexZwJ/IVj/Qo8SB1WWvJmfZeRiZdm
ZHCC5hAinjTwuNBLTjOMbCT+RvE+me0i7IMXUfk17xf6l1JD3mZvCnhHH9FX42FLJTAaZg1UZ39r
9etKcLtvSCvViYNIFHbnWY6HJJ5QGEUft9WYOx4uNmKC2VifkxV7LuV9j5Z2pS+wbhuwmokAVhfb
hmx+580Hgo3Oegl9Ax/ax6jEt624FYQVpBpMcaIKuONN5C20aC1iCK28sGLHnoj6i5m7rTcDldON
qpOY71qjIHvH0+1GFbf691xEsQFIo3hcV/UjZu/mcZehyKCkT4HZzgphq6EgpmIghc2hjjwSq3VG
4FCos0i4ayy0L3BRdIRoH4mwQFGjCjJsz1g140tY3QzWYId1bE8PVAlBy3gjVXdoYorRnSZ4i7JP
oIe8NvJj3d5W5AUwca3sqnxqraWFTKGczLPGOY4uKz2I1mhFgWeyCFMq4wX318ZaqdYtYhWatZt0
A4ndDHUhSHce1jkhdoL3uFjh4mtZDzGyFdLWjFHZMOO52N80meBapD67EL80hPaYWrCi2saSe/to
fm24U5pkkfv3io7cxn3bbkxYuIn0rvjQGDWnKpy4XVVvvTQb4A4iOQM7ByZ8OptcxST32L7E6p1Z
LPx213AFRas4XPLloTb3TbtLHU+3h+JBYb8kj57/raYB7dUMlx1mp83W8lAtstt6pXyrTPwL3RJC
LJiYYW1JnDH3EEbK2/EWAZvUv0uSOUKV/pPIZX28lUTw1Y7xBNtkbPYiQcC9NmBJ5QT8ZUFwgKbh
op4fDzEKqB7yhuIcmjq5PCl2gdnKk20SxozIOC70aEMtWBABesGWXEh8uzjH6wj8Z1et8nEpYkRd
2YQtsCDh1Jucuo72o+0cpAkRgiFJGEsLclmY9gKo7cSZLt0MPh5PZIVXAfpCCOXLD0m8Dc0F1Tyx
+1aLswG+PNd0tAK2bEa74bk2N2oyL7S91zxLuAIhA+pvNREVG0bxtsTVDcdMP5y1WGvnC5y8JyRO
OTfiL3K1rRAp52qlo8K49iXXEA6euszqtT64pkw0vjTk2zFZltZ925FhrF4Bv9cpFmcrL/4ioUMw
+rsyIdbiQkaQE01XRzQQysQRF4MqjBtRd3Br8bnRkKEDj1Ms0/FbqyJc5srSCiktAZlSw1bbRZ+9
hRhdWW+hsOq07SjMDXOT92tPaNxh+Ep3qOHJDaISDyp4xnQxHO9LPMl/cKoawlxVbophr0bbzny0
+kdfcaxgnVp3WYFELv71K9FcicYiV5eFt/XLh8J8g9urhUscNItiIci+g5OlCr82nZsqCqHY574H
xy3aYYQqoXVvMYAtdq2mDi0MQV5R/VZxDirINnXeeoh2eTrMfRVKbSTNY9VWpBjjuHoTDgsuv1Sf
hymqRtwOld/NVPM9zjGiRQGpWxTjshSF/TFaxEgwFMaywZg9H9FvbDpEV+djx/9rratrL90U+MsX
c+t9wEkSZjkJFOO2HrCAXVqYzWmIieKFiKRckfxo9XkiuDrPqZanY/HSjrc9YYE4t9T7iBDIkB+U
eCXqr4CouTMMc18iaTYuNIWVMFKO/5aEbkkYEUUijJPvR+02NB5a7fWoLsbSHcVhU90O6O2UT6Ox
q7uNPt4YKDl3aHFlB8AJbJYkc+qSZ8dSMpFF4wHqq2+DCDFNQV2MG4KHspsOj6G4CoTRhROeFQ/4
VYM5auNDJv2I/J2ULMr64GvjogcsHycIWRz3La+1qBzdSCJa6mZKglaRjxaj+WVsgFbvtfK+kL90
4XvUL/1qllP+jJZd1s8HTcAVvkL/8dBZc0F/DIeXkjAt6D0bjGaUrrJoHxNXodwcQkYuv9TaC7bS
Y1pzI+/QTDsimSp5P8wIVsu68zZd/yaaX3JhHRH16dG64XTICgVBE7Ri0WhcJvGqxLe1fxWtRVUu
2ux+BNrBaa2vZANllhtGoizuxxylE5wAB/E+jb+Gwqyy5mG998qNCo9SFhM7C75jsN5PCmvL6r3t
b3wfOOpilG4MyHdoQxarGIkTdFDFfD3WnY00sGkgS4QsH8IhXMr9RtMQX3orInD8XGvbsHUtYd7h
QC3NVGOfE3Ilc5T1eB7ZQ7zrkzeln2D7j2Z4q3BDp8qdqbwD4beFBh3eg2C6uXqc9zWnvPrYUqbM
0OWUtgpPa+E11yduDDJopGm0Lx1yclo9hyfvGvKyTG9ydPcTQqlZzqPMFL9axffG34bWU4D8mCnO
6nFWV49l8kP0Ol5m23HEBg0Bv2cOep1PGEPGc81DxMoh1sBMlDsWh7bhRlE4XwWNrMG+I6HSoHxY
mr0D+J58FwxfJrTOECnLUMrDRREFKvUlyJ87S3YtAzvmCN0HlqKqriQTQZLDR1rvX8T9BKn7b6Hd
favf/tf3tA7qYfeWfP8//3sev/nx9/JPJO70s59IXAnBJMnCM0aDW/4fuO1PJK70F7RxwO6qQYYR
0hlZ3Z9IXEzSADqYIE8tcqhwA38hca2/ZB2SuIVo/odkkvm/z5C3nyFx9T/BFTq1Kf7UJPgOGHjK
xp+UUnQ1lKC7at6ir46G/5L5bY3LLQZl9abSKgF996rGNFhC2GuyDwaxQCDmWcdwf7RMChD9sVVh
lxjwQMCk+0gOZohNx0mKUHfVeQs1EB4aHGEbaXgzinRVHouDWArLHA0RW0kM6LjGso2MF3Drt2Wo
owYxifly4USCBBif0/qYNXtPxNhCOnL1GnW1Y1sMGDGjXOTrbXs4epbVvfRBcYQfdxTqB3Xs76Os
ByYyVFL/3qlKuYlLMgG94RHfZR1iRJrppmHPE6WF4zgUorD285qIxhheKWNjQt86nW8W/tYr0OP8
d7/8B7rO8vpkv5RvaRQH6Z8bRuN3PzeM+pcC0hwtMMn4oKFQ/Pu5YbS/AGKj6MOmmJwHTzYMHFsR
D0CWMlV6atJTqfoXQQUcvKGY/C80BMOU/smG+aN8ActXpSUD2IGMpOlZXdACp6jLqVYv60h/oYog
zvPC5O2tC6tUE815j5TvFQjlH6WZqUm2OjUxzTKMc1MmKfMkCITjBIMPHTPfDHhIS5AiT6biAkbo
YsdQu5epgmH5IE4115ODYGxKpHW7DjUA7bn3UZdACi2bUtJuiP/Y520BjD6vAtGnyZOEmjjITPMP
ZEHimcaYH9ul0oq8raQmanRb8cQGERdNwOP4iFKjI4/UPqCSFfq9NRpk+P0qqnx3iDSEbC0fr1ju
bwGW3XHUfdLCQJ4BDPJaM3lQQ/B9TY4VRn3oAkNyVKJ4G7dkQbTJwaCRB/V7khSkvkacGHjMknQA
tIlGv4JLuXdnBJOOrZG/CEGhv0a92a+aND8im+7338rcQ9lA6qiZSFhCVypf3wpk2cTSu4N/Dcic
WMTvqtGBuPyj8IwJ9gRxUzsoiTlLlHyWW2rAS0WexV6/DJHA79E39+Rwi0riRsoDpH9xNM/M7yj9
hI4vVksrh8OqwtOkXrRL0yfVTL6VaYTkY2o5KAZ9kSyO02M7Y1/NapncctvI+CDItyKE2THEOtro
ErwXYNXKqTkshkIVX0LPwli7jp9RiFRv8lY+EvOT8BVCNFr9CfAYoZ/nBuFgESySFJYgBq5SXBhc
diGuU2OQuUexQ8NPU2skchVUkVGRSsr+e3CsCESFOF0ilTb9UgFzhqOGFw/9OvBFagFla23BC/RE
usF9qZfPeTw+mkZ7I1oiAqKt/qgNVTaPcUheiFY4OFoypnZM8dB8KIehMFp7yMq33iSMrtCgTVDl
EIVet2FwQcLOpwtoFWvhu36U0zkkhwYpnhT3ELH+qob9E2uGVLuqQ0Qsiok56mHE7icvimTdSNwj
My8bnlOEbSuf12is3UfH5E2oJ7ytH4k7WYcoZlrBY8fCc0ZDynEXGKJ5p2U8KAaVJtFNbaIM7X1B
40EgdhHvXmUgsEXGq8jazWCQ/lDreC9VJWUJhLvcWCfao/RZzVXDwnR0ROWhjuNAOXRZLD75x2E3
VMXXsqt4xsP5f6/MBORVG/rI/cqjib59kDvId9U3vJ4a6j5YwhuxGe17P5e3YX8NkfUn7Mz4sN6b
nCTZ2ehK/n56QCqQuq4f6mWK4p3OrMfhPKdo0pHpFfG9jyCit2T6FTbm52fJH+fWR8sfBkLSFBad
wVss1rjUSpxbfvBMfU6fih0deuDSTIHs+nlbf0Bp0HdQDChSGvQpMGFnuBNZAJKv6nkDKCSA4n1E
AsybiyS9DOHu85b+QLictXR2GgtCIcZpTEuT7rkoTpYvhft5E3/OGW1AEoM/Aj5fFc9BD35pIS8U
Cfg9GMR4kLSgACveQsQJeB/xkA9lymzQddVFgN0cSiTGv0Rd6T9hEIvw78Ogxdu36tv3S1EQP/sV
BWFANnkqI0IIhmyiVfyMgtS/LAU8HhESixFYPmvjF03XQM9QMRXwDaBNlV9REAESaEkkQbB2NAxt
elH8g2cDeMo/LnAZDVgDRSzWj6p8cJNOwgUlkJMIv41umQaxRJ2r3hSVdFcJHf4BaBPBLJ1pSk9S
6ZiTFE1w8Uu76BWDJPj74XFwqyrZl1G69L0kOXQ+1dQE7ULRk93KazcYBJD6QQIjhefek2zwqMKD
tlDs1kJRTjBviE/COUGD76ienjmeX7iB4L+Gowb5tSV/3xxFW8pJgomiGIFEiJ91f3xXEa+iGKqv
hFybi1hPiX6DDt5ArR4BpRvPS5GtMknCF6KHvmLYu6WhL3qd5LpcIvzA/e7w5HHAuC3UMtxz90YI
F6i3fiDuxqydZbU5V8RoXhjZTIYMzFlNYlE8jAK575bMZ6DiUSOsfAOXmCpfmL1I0iesb+ocwwBE
rjRkhtIs20uk8kcqPej9LJusR58R2GfYTFaC8VjNA1m6G48c5I1HjbQaHlVDW0nVcW4eB+wElAf4
yCI0pXyhtR5SBf5KU9JNnKVvrSndY+mAUlK10dpw15JP0EkmBZZwE1c5ZXxNOOh1StLUXwuYzUQo
2Wte4IYEE6jHpGr6WI6G6/nl0sBuF2D31lAQCuuKmYXQH6VNYUG0QUEZhC7GQUGQAsXw7/IqJhmh
3nGb4pmEA4QhuIVk7IRG3wm1sZC6xkW59XkIgtnIK1Dpa9RexFnfjuiwQi2YpAtbeUc8TLpMvklk
YCa6Jed2mjYbqS4fjz50CaubrkJr2/j9LcCxbS32jDo2QVh53OMgvDVAKbcpHkliEx9yFJrqINx2
R2oforWrYQracGd3ELVXoUVizxAXPTVVSzRw7QACrKUJTn1WUJqzyPBRskSHViirLfVlE+pfBjwW
A43ei8l2iYm8bAXx+Wi08dwKRXER8GrB1LfAqVwukF2ZKNtKpUjILZbYmMdHVZLJCWKigFqxn8P1
lI5fhFLWsHs99qZG6d4g4ReEEwwhO4pPddgFM03PAEYlnbb4OJj+TeyYhBF/f0Lfv5VvVVa//flQ
nX7384hGP1vTNZIxpopENmf0ryMajrU6If01bZIw+Di9f2Z2DM5hXo+mLgKoxvOQP/jzoar/haUr
uCjsWgwNTcF/JgZ1dkJrosRSEcnrcOTrMETPwKXpMAZe01vqQq29uRHV+YhNiRf3z4GlVe+DiQ7/
LIjadBIJSRqkjuq6NO6DHP2XFD1Z5QHjPTcshlXqDZ10K6p4MZQG0gCGXvhoyij4BkQtBdMwFbwb
X4zjuR6FlHoilJ28oGufa6NU57noP/eYAkFpIvNo+4jGfz3CkqPshSTbKzizl0A4wqxsKjnYBnJn
RjNB69W7OkX5GTxXmXBLRNL3f1f2f2IPwoG/X9mLJv7x56rW+M3PVa2RSMEMFVgyrqRkOVg2PwMP
7S9VmvKUBhmKXxEHT3hiYvISXKT869dyJoc56SvD0rBMVNHQ4fwHEQdEvD8iDhI7bByyE6zoP5w8
RSHPW68duqVI+Q8nHVeD6owvWVveeDkqkANh8hrctrdRa9+cFVpc7v0kaxYKby5n5L3km+OuqwcR
DmoUKQeO7dima9Gsmp5aUGTwShN7a9Yk3avCg0zAYG5ZZu1tq/m7fPS3gQ6gwEQ60dU7KDaeAWwj
432H+Eg6z4S6dMXp8SdEwOv66UHIpnhUpidiPj0WDbFCbJD3o8g7crK5zHhXkiJ5Jkncz+B432Rt
9uJPT9BieoxyN1FgnB6oCi/VPuu+GtPT1Qr8ZK7Hx5oCe0/GEoUoWwabigsdRKbSMwjD5Pc4lpFy
VhPq78V9aIDR0lIjpGpQ3Vdi9uNIENMU1m2TB1uhbOZB6q2lOtnrXkJ9SX+MjPL7iPsPrEf+cOv3
qw6HE9mQt13VO3XL9XMcGn3l9ShDcl35Ti0mVKHqgpRAjUFTUHNlqT1PWg+Yb1NU3lzV4QqaiIqJ
kuxKfkZSRiZISYQILJK6VyRIsga6hiCB29tRplrFC/+goYLpNKWIVpk2Fktz6DtbG4CdFME3rYfF
ZhjtQzcZ5mEBjzG5mfMtRqStmrgtGgr9jTp0LxaHoYLCZqzf17mebsoitQ7diBdnhC2TM2Rg6+Vc
Os589EgpIcVo6LVtfi8lcle6JTrOKEKJRv/YSFQ0Pau/GWQgq/8eSv85lDhF/v5QWr6V3y4p905n
z89jiVoJiYXpPDpVLJquYM0wTEokH0cTd+Cve/bj2uMRRKZR/3gl/bxnuYIVyis8rah96NzT/+hg
mh79J9yB6Z4lDYz+LDkIyijyWeoDrsZo+p0JxSeWVlJUcsrAxbbC0GmDY7Fuu7Hv7hWkEWssj/wj
/FWd2i/g7XEUi+9dEaEUqPHuiLd5P+j6f1IW/0ZwU6Xq75fU5ns7/HnPTb/5uaDkv1RRgeyN9KZo
auga/7rnlL8ksvuoa6rqtDomwvHPVWX9pfEDOCIKaScuw5PrzkTlc4r5eBCTQqdm909WFU2cLip0
BMgkQBaFNWbJChcs//3ked1XQooBlZ8sZVFfxEoFzg9zwrp604E+nAzMhcT/H+WFj6YQtqahyYnl
LKmlm0dP8oRJG17XAAPW6wRbY8sf7///miHkOO2RaTVa4zU005tACpA4JE2+11GLutKdaWROtuPH
yJGd47CgqEq6g6j8tB3MmnyjLz268wLgxMDG+CmpbpDm++fdOW2G/MxpM3Lt97XsmfES3VMoGw8a
YoBVG1zpzDQon3XmbG78oRlyDzNZTGu6V3xHfhwt/eHzjlwgoVGWRiPKmB4MrO2z86sqhinnacTL
5zmmfevInAHWibbNXKa6+yi8gLp61e+qde0q3z5v+tLKO2lZmSK+k0UuDropeB0tDwZa54qrit87
4Ur3LrdhaKJOmgpV3jPmlNnIZhj1Vrysxx06pMjLAqWDy/B5T6RpVf05UT+bMcSzrsTYe+cc+vHy
KUzn84W/UtbJO+Im23+uGMBscXdNBUHTFCdlv9MxIzGd57GuxktUVu04aBCkQWu7vjIzFxQpfm9m
Op9OpiYJDK8LE5ohXbfetq65EGxt3j8ky2gtfVkc3YNqI25CmeWhXOtfyy1Amc+H9OLEnXT07AQs
rHg0rJAvaKJlgc2ln4E0BV77eSuXJ+6kmbP1kSQSRvGIyS/9p2YnLaMFSa2Z74A4uhEOn7elXloj
J02dbbQsLiZxTZoKlXBejSWmdtGV7ly6NsDiczkh+ab/UaDwCC/UMaWJIxXGqoAVAgjUS00wFMmV
+Zm+9o8VP+lHck+R4TgHjlhlahb40MVLIG7rci8esmeU5b+0187zi6P2q51zQcjQimOcfaV4Gavf
hf792F6Rk5IuLrSTBs4uDC3LYUpNS12l9OqInOZL6G5OtNA3aefWs9D25xaJ52sL/FLHZB7IaM4Q
2MrnO7kdzBKp1oEFnhq7UsOz2zC/fL7iLnUN3U6q+mSopvj5913sD6rZqDHytCWYfNngAdOD8rzG
npUu9uSkmfMzSYtCuWw7zqSZcE+23B1moevPvKX4bi1gQDne7PN+yZfW+WnHzo6nLhnVSGjpmLIv
V+Ve+1LcQnCYRQt/cxidwQ1n+pfEtRb4ojup87TFBtkGfvv/sKFPv+JsQ3uaJGArRr+F8DHVcxST
n67089ImO2nhg7d8cgwLViWNZkI/23nx1rzhyiq9p5kdb5oZe9s1XdWW1vq9L9vqs7bGNNQ2V1ht
2ym9zuaKAznL/fyTriwp9WzkVbGuzSHp2fa+4Eg46eGgHLZXROQ+fE7OD5fTfp8d/qUyikJqMLKa
rTqpO670NbjZvTjzbWQTNsrCs2fCutsoTuCClF9+3scLwnoge34t6MkB4PT281rBiuWMYYfl6ySc
bqHb2gvD6delPRNt07fx4Q2vnN1/1mMJxGWdkp4yPT04Vn9vtcn8vEe0nPuh8JwB4eVE1hd67y+K
lAoWZoQPYn9cY75BsTa7JiZ4eV4NYiSFJzYOj783jlOHTnK4jJfG8MWE3NPgTj3AL/p8ZC8F55hg
/Wzl/DDHkhGaeUoXJ9MBWW7tmrzUUcpuRwk0oPft89ZUmY/+cxn9t7kPFNLJ9hklnGzqgE4Njr4I
V6Hj+u4P1PxWr5n9bM6gms+zdbEwc/j8+EvbL8eb0H5cGiv5JnLvYSXZ79RaXMSIbMzPnM6urq20
K8NuncWNZRLpghyx0kbPs+O2n5lxOh/z10r5CmEX+MRTF9+oMJj9YVk3ySzXynnRH0pBvnKkqtNT
4pOxOsdRtDluC3nF1HSz6DVaggkXb72FRY5/o7rDvHoJd+glrzGETr/2S0jX22KrfQU7BGl3cWdr
C2bTmNSA7eYLxP1iKS6Gu2qp3GsHzM32tQN5/PPp/ZsN89/pnaz/TrdpK/diIcsV6ut2uY8W+KjY
u9rx58o1BbzL182vhqaxO1lHUix7qj/tTMm4a819Lt4Z1dfYuHJbS5dP+1/NnF3XsVxXYpfRzA0s
qBdlY66jHdy7h/pg3Wizdna8iQ6UMeHRQ/G9/XwwP4CLn83/tFJP+pjoxySsIhqXt/1cmMcrnEfv
zNyR3CpaePPZLLy1Dult7YyOAK93gyH5ynPj3TVlOfnSU+rkjDh3RfRGDLwQ7CeaeCoP1j5beo5q
AmGypaW9iHewWm7btbHzHwoso+3mBl7D50NxQbJyOoh/zcPZ7aONUZeEI+tKXWwf2q8k1X2MZd12
K1fO8CW7cgbI0x7/Y+SRWyfTQx4RUOnvIz+Yldf1OH8tNQQVerhQclW/B4KwVLCDDiIMX+V0Bzjb
7YJxrsFHIvs8R8mCq5diOxILApaz2dg7mqeh0oQiY5xeOR0uD8nJN57tgHoYWCBU95eh+qPqH4ra
nxnljSUdcBoAWrg3IC5JwKbDI5yD+goA9mJ8edL42d2UxHjqKSGNI4/hpGA//GtTPl3on0zBxxSd
LH5DGzrSUyx+JQgPlahAMM0eiyhemNijWAlEuFG6sts/wGKftXl23Sc+RYaqo1fFDLffAq6HUyyC
JZp01ax1lUPqqDvoWNsHbqZ1eWM+jGtlV7AVEcubaw5RgAwDeDoJjrdXNRevDPm5EV3uczEZCh/X
uvK6Ak53l6yDbbE4fhln8Wtwjxm9cUWT6/IcUEek9D2VC89mucWsk/dxES/N9s6MqOyRFGqQuunw
2krNFsbh18/3+cVgBEzU/zRonu077IIj9h0NSs3iGEqbSRcavNAwEE0XV2b78nj+autssn3J78Xc
zFnCne4mUWz7xvFK/Pg358ivNs6uD0GhfoXYbbz0bq1s4oG3S22JSdJaOqSbaK0/hDtpG7yzcDIX
cZTlt8+H8/Iz8GQ8z26QKsBcM8TiZRmZTvBmyY40z26z7+lSbZxok6zEPXIn13SLLl7NAMnBkRsY
Rpy/kPwh7Psqo9Eme5KwJ7WsHM5bh3ff1RzfxTk8aers6SMVPb4o0xyaJTR8C1mUKlpHWOhOEqtD
CKtersDksFSzFGaM5VUvfRbNpWx4LJrj6vPRvrh4wSXzXAAkSIXg90sDs+1c8IG0L4WbsnX81+6A
dXWcXVlT11o5W1KJhP8whO7pXEw43FMLLY42Au/q9y6Gpo+BZX7/vF+Xb5qTjp2tIkHQ1FhOU+JQ
K3QqSt5Ay1T5eUjuEvHQdltR3/TlK1gykM//A3f6zafgVCf1Wnen/35yDfRoSANOzOKlVUM2sssK
oxsnejaNKxHG5a160snpLDxpqAqtMQwLxrWYpZtkl7zmL+0KPRJzU/B+1w/GwttVN9VBceptAEv5
8PkgX0zvyr/aP7/vTCVNsrbB5jBc6Q4imtn3cq98Jf3/2i2arW0raySYIEyatvgQzu4xELuRlCuD
cGk7IbnGloXoBsFF/n0MsvEYiG1F2CN5qpMjYTFepZlMa+X8ij1t4mwtRWkfG13JieiHlIJUJyq2
XbKr1JngY8L1rIQgCbJdDmNAeY3GnWxsdOnuylBfutZOvuG8khf2fhUO0hTd2a/jEu6oO3KlSs/6
olmLztERdjBQ95jSuPpzubPWPqmbxB4cdKDd7sqQX3xhnH7M2brD2Kylms3HNOthodmW/bVwcLsR
ncJt3NJ+PNpPje1arnbltPooIn0yExRHf1vwURIVgyIzEzXdR3Bs5i/jVbAzFyq2H4JTz3LYE7PO
HZ3aFmaGMxDhRLzWUf6wixtjdW0kLmYQT0biA210sgNrEJehLPFBmS3ZrmCLDoJdC4EU5rOEvp/u
BotgC3/dRhBhLbrlpOzHzFz7jo9U0icDo54FBtWxk4PEn3bBvFoc75MZjOa5uK7n2Uyzvx7d2iaR
upZcmfxFvgIa57yPMMjtxs1cOFAHLH1cfS5sxyfRRRHJPe66OQZ3Trq4xx903jjKQbkymcqVbfWR
djkZO6VT1Njs+Gb09O+Cu/ghfBh+aPd84Ea9LV19Ydiv6dxbjQt1b+WO7d1ra1T8DuFbtMEgfo4i
xRzzof3VDNqlYOB0Us8vRbX9n8EkXbboZl8lu7fvvhM+kr7xnZL5u/18d0uXbozTFs8uSHwoOr0e
WUalu90j5kZSlnKcmzm6C6CZTOxxHX6/1uiVI+U85mnysVKTjkb1dY4mDn3tN8Y82eKYPgPRtWrc
DS5183SmvXze3cszD2d5gk0Qd5yzH1EDtaRY53ImnW7PKxvRuH1/E83iQ6HaaGwclLtkMzrGYkqk
yTZCicjZ3oYL3w3m2WT2s2zs4Sbfps7y8y+7WMdTFDg5sFNAaEyGR6c3qlQBgZZ5sS1R8nMUFIBs
bw5fWX5Pt9Ihu3aBX9wBJ62dLbQ0HeVOlQLADMbo+vmmzHYpdOXP+/RR//7jbDhp5ez6KqvWzLSQ
Vp5ek1lgfw3dxDmQZdt538ic2rZuz+5jJ+ZQKlncPxheRjvckjxafP4lF/bVFGVSReJpRqB9dkhp
Ea8kJNU4vQlrA6h1CASC5HU/b+XCoP7WytmgjqM09GpDKynen8dWtruucLW2uhLTXmvmbMs2cuVh
eU7sVfHALK0AZRFE+PwrkzddaGdz91tnzh4LoyogJ2sdKaArLQ68c4Ewzp/+8VfN8c0LbzrhioKr
PC3xT5o0z8av7PKyFH3Gb1ggHZms06MdfYdTkd0KX1RX3KCAcdwKc+swrEjSvmRuQF14G137jAvp
rNOem2fjW6vQ/5qcnfiaGY63itbZtnoN9/6m2JQ7f27eCd+kLXf7Pr71768cA5eSh781frZleiup
P6yGlzf71NVm0k23i95kKJqH2J4thy/Wj8bFOHefE2BfuxevTsDZnGtRDCEgY792t8fQxhncxRd5
0fgOdbp5sc8O6rO09lfFZtg4t9q+WoePn++gSzml37p/9oDR8qrQUp+xJ7ZcVJSyX8Yv2W2xaG7j
ObKToTsukpW243bg5aG8a64/r2/Lu5L450aaHdfNMpub83pWP/nzzz/tUrJeAr+JvStfaHyA6k4P
6CIf1NwXfaAJB+Om2DIkVBXGN8oa1wrrF+7k31o6G4RCL8M6kdh6gdoCF44dreyculn74ULL4iul
younya9unSdvEbHO9dz82OcqysXvnfGURVfTr9PW/WNrn7Rydrt5eEhE6XTfgM1D3yrvZl0DY27o
7oMKXJZy3IpK9TVQrEc9IIwOjzMh9VYBZLvPZ/HyEj/5kLM4vhPZ2IbELA7qXHsPltZenmVO8KjO
5RvZVdb5TNopt/kXNHMWUwgU7BFiuvINV4b8/PEqDQiapgrfsA0P/cMU/zzVX8tDvkEUbRY/IUqq
EgDDyl8fXzUn3UnrfIcO8vzKdXVtLD7OopMwuPER1TGnSVHuCdg3ml084Sj8A6nN+2Cp3CFGdVvP
4sJBmWA4gAVDQesg7j4fjI+H0ycr4+MjTz5iRCsb3WzWH83/GOkz8IDqyX9r35tZySMi3IqvqF1S
tzB36g//KVvmm36VLKgcdDb1BX1jLdSHYGu8mj76BOtu3jvr9bWI9cqW/MhHnHylZmWlEqlMWb3p
vxrz7MlbCPtoqd316/jOeBPn/SJffLsWtkw3zR9jYwFeJDs4cVnOLsTYKDoP4D6tCggSVgjJCxK1
3s9n4EIwPpWz/9vI2aFvxlpZl1PXiji9T4ahQmgb7+2mLlypLE1nFISnoRauJMsvQRQQBoK1DRHG
mDw76fvJiJo5zBZ10KOll2YvUdmt47DbymHLcYoNreFtsyy8k8bjXD8ChimUmeabSGl22Qu6t4ce
PiZ+BtfwKpd2JorvGi7AE5L0fGdCNoNyrguTHvZcDb952QvSx/98uE+bOAtFR19B5SBmuJOxsYPq
oLYRQn1oth79x4LBN4/XgG6XnhaTjv1/e3V2+HY9/tmKzjJCXfgHVixusU6wzEMy3R7ugyvh05Uh
nEiFp/OqZlo/KT3wtlOt92Pc3+OngQQYNjCfj6N8aUue9Eo569Ugxeao+dPFdYuO/sK3+2W+7+9H
e9ykcx0J7C/fwbC63dfqpt9qoKhlUFXpLDjawlVk5KVg+fRbpkE5WcxSogqB2tNpFf3onf+6Ul7f
0ZHQrtXxLwYhpw2dbVYDI2QJU1eK3OR1l/U3c1WD6Cln4ytSmJ8P8KVyyOmymQgGp50SG98XxZbN
oHDSUcgbXeWLt0Ix7ujM4l3mptvu65Umryye86SWlfiG0Bd0bzu6hmcHu3zfrkfHmwuOUtrdXkep
5fHKNXjpkD0Z0nNAmFb4ptI2tGkGyFZmPzL/CkDz4j172sJZPAcbr8HZlS1v7XWn+h74zhGG6spc
/V/Svms3biXY9osIMIdXZg4nK+uFkGSZOWd+/VnUPWdr1B5P4+4NwzBsAS52d1V1dYW1ZLOxJifa
Ra+ln9tGeBT9wsmfkK6faAnz1RrIq+TyGwh3myGgRXYB34D2Rt5EvfAX/Pym8tVDvBUPwOJfcUjV
98yJ99wdoPCbffdAe19cu2kuvmEdtbxUqDDthQi82qmbc8in5DtNA5ZN58Wik8vvXfR8W5lo247x
zR/iglxmu7mEg+DKbBMn6dMA7AGpkNFXLG04obK7EUjwHOC/O7Sn8KHTK8M2T/PHKIjQZs878iB6
eV44uCiMKi3tGNzlXT82uhQD4Pr2166Ge+N8yOJxvnACBg4DQGKqrDEvx1qrAQs5GSHzcFsQzazJ
qnEUinNdpdD36J5DgXoTnBovuqtc6QTOAB/wsPGBFsdQXDUAzH6cRNHmXQy+RxiA9tFJm6neLh2Q
r2IXaDyUfbzCzA0Ake/LTl0N4cIVpyVblQsAMFykw63BR13KHF6EOw5/41xRF/Xj8DvcoXgNBCs3
N9LX3JXey4d0p4AIB6gVD8UD798BdXJNAe6m58lWtms/UbKJbZpBXBtd+fGxRIDHD+1SM2uShXGh
VvljjMakc7oL7mRAMx9ak/cmN9j2z0BdRtGW8g6hXFpkngMYLaWENlWoHGbeMfUKN6Uz7Y4tDpzk
BWKrKwKtLeNqeuPydIiLsiqDUKvXSxvv+9O8mcx0z+L9hc7uQ+4xOwZpZ9Es3MVYW4BLn9aicS3/
+2PDiftz1sKiK1ZN9J9rnUUohPln/Tk+j5a8KTyUA/SDd3z6+Fz04wuzqT0Lcz1G9hborMnrd48U
U6RcdyrhEMFoqcgDi4RXwk/7kQeAOG6D1IolQ+xYuwSWsCKhOsIAILjMVlgSC/lNhwNraVMn//Vj
CHcpNu2khTJuiHaD9g4WbabxU/MQ7jGhHdy3vTMZy77cMh5lDyiXAtniOvRBN8kqxCbe7j469Gvr
5kf+AOqNAL8y8IjtyjvmWB9i+7bkr+GBGy6XbF1VZKZcULxCi9AzZ75nFTDY9dhS3zi/OShPils7
qVegS1v0gT32purTu2x2m+iMzNi5RsemUz248n58Dw/CPeXTrqUgL8yE7GXFnPZQAE8OiTjDPsBD
Zd7r4mtnftRjnEPkunfR7hcKnblfGG81+ntfEovZamZE8aYr3tKta4nsUJUrAeF8jg8BuG/jtc7k
AlYH/cfBCbV2qzskd6iEbrJDuRNlY9yXD5g7AZrvBvRS3DF7Bdy2O6CnD3jy+oT2z9xsn6gtyKuT
vHWOhBMV0pAXqzWlAxCbe5XLvCrRQMoj7xV0Vk5gHOi4zQq/FIUTBphBU8SbzeTcPjGKFmtrkHlx
6zTskhS5hH1qNwBH3pQP6DwXnwuKlGu9JZfuSyPc5zIMcsOukSQXeCpctiJtisGXQGKkypGj1C88
EO6Z9ogctidBR//bIldluVgkHzQjF7FYJMM/TmYIrh259pb0UUifio5inbQwhQR3mxk5bqv1SSUc
1N+K2/mLP++jQld1rtaHU/mL9SXKS+DaJNWP7SVcYCAALF2ecSP2hriJ/RxIh7KeP4h6u0XT5vu8
BRMKOnbd29t6rbfgh1giNhfCJRTbBkt9Zg3QSbyWTuxwvmixb+lOlIx59NE+tO2fwM53SA6Srd0h
bAIYZu9mD0CkSXzepXwSZfcFchxUkSspxF29VsjBVv7aLzr4S7x0G+higZFJwFb5NU3mGpn9YceA
g1NWIALuD677pi5bdW6w+/Ku/T3u54d8FzvN73Gb6OpTQQmD16O8JYy4erumA60PgDvc9BH8LrIh
KIYx35W0qYTrKnWxqPU7LmxmYGp+6FgNaa7X9nfsS67gc08lyigoYxjzu2qDZujfZGAuRBLqVDca
U4oFRHaxCEoBdA/Ifsl93Fbaa40DHDh1/++0yNtTLWWhDlsVUuxSX2zOzN32FL5WT+zdYIGEwcrv
wIHV+xGlXnE9BXIhmHhMKJWQZ4CYwVDtozAYgLD0B0vk9WZTPNDeLdf97YUswq3PAZuFGMlO3WHb
3Ken0BK96dRY/Jb1VbBTU679qwH5hTTi4BbwPoplDGnsqdqmkxE70qZEpUvx/tPZAffop1JGnNyI
FXCsEIWjIf8DCDRu/SAeZrv0FOcldmqP8bgjtbtlPZm/25zMErdXoLKl1PI4uQDkfc0x3Mi/GrdV
3elxfCrReUIx8fVwbokjTLxVahTsQNLmKuMdF0rmAtan2xt5PcXwz4mhqeTnRip8n1bgMseJGZ0X
oDYd71NUSVCnPqjbxelNMEFOFmzhwP2KXtEQsB19+Uz5iKvB4vdHfBnMhYsRuAhggxM+Yjkwh/Ac
2fk2ew83rRNauYfBLLypuk7vLHGLMPqdow3eUTyBTHbycgMGHUsR8sXKQNMDyqF4rEzHzqudzu9P
05k/sABW2la52XsypX5024/LXxfZxeIrNulmpoJOFdlKP5qbLOAukUf51bPLQRTCbdVUlFzaqqY3
9OrL5V+IhAqXZT2vnk87ROWzAtbDMflPrgDQPD8Va2AY0G2tTq5XzKy2ervbCwCq0xkvf7qtPred
DvCEfkqaJBQdogqrWe7Am3tfHLIn9blz/lWy4VtJycpKxijTENUQg0KAbHA6YnH1ftjkh+jfRXHf
osi8dRKOQBgAKprb2MFpwqO+s4etaJ1lIDjjOQfMtOhMjcwp20j2h/ad+r+XLto9Z/2d245W/hS/
sb8lV7L6bXyvmqWmq4AY4M3bB0i5EAGE8vMEAcY61gkHXQET1p5pzKx1eA9oY5xqsvcd5QlCUX6y
3VNOkipjBGxujwm2qNHnGNwxaBa5vaYvdbhhY2SHpgqA8UBeYxjF7g7xSTRrR9iyhmTfY36692b0
oHSOZGa78Hl4uS37y1/dkk28J6MSUDNw9bAITW+2vJP73BYob4Oh2qCCix6bx4qyqTQX+pXUvHAp
TT7LPTfgCOVXVJDKRxVo/KUubFu7WIxqP5Y6mHPwzAe9kUcLcq516V1EcjLZjdlpcoUxVJhm+dg7
uaOa/BFMctZiFH4NeEI9dactwG4b3GTDBjTRDRolNBcYhmhYsEc3NYMzc5wkyt16PT3zbcZkXYab
mIlJh1XTAMi+1+4qb9xNrigYktW5wbFxAzN6H9zAqzcAGGxt2RT8yZ1+B+fG5p8wsmtX58ppRJNx
+TPoI29ryRo83FKS9ecXJ8YVmLcbgO8J0I3ybTiEu+ZtptwBNFMj7gClHJS+7SCCEUA4BT5D1Zem
59vLuNZQ/+PwCfcfplom8gt2ebAXG6TNw12+AXcaXpqLm2+REz9zu1mvNvWh9wpKKH9tZPdS+Eqi
crmJTDmNUQy8VLzx85NoqI0OnLBdvg0O47E0eoQy41HagUT9E2OCgl5sgaJjDk63+3dZyG9lk4hH
BauWIiiPYYAKZgoSG5NIemoAHNI81+Ym2oT2STHZ/a/bm389G34hdX0RXyhRtgClbFq9nOxEXvje
W8O2e05lPfWX02xzRj/ova3eLScRJJiIKAVLKCh5lq8y+Q1FlghvNyXAJMoFrHz6WJ7jfYYIbXzi
XVTo6n2/K7esJyGM04ziTkGiXvJl430C4DSqwepLtWfRzXtK73nJGt3bm0O5UFeE18u9maS8bYQC
3xUnz6z2WBYHKd9LwWc0f7LNVqYVaa/bswjXDhBEIA4Tqpgh3yqGcDjumGjOoIAlswMuR8DpTcNv
hn62bq9u/fo/d/1bHLG6IWkXQVjTD1pzmoV9Pz/e/v9pyyHcE19gEH5YsHtaawXgm2P1udKHfNMu
5m1B15NX3D8rIRExgOXVsqjbr7Pmw7Z4KTzhfvrgd+8aEmc8Mkbdb80IXphHBCMeeyzcGDl1UBFr
W+1XssvvNMrtvTrFGxurEBubalwjlsF6jgu4U1OAKsy5BXYNM2oTI0uq01CylC1Y0563RK4/v7Di
RhvaKe6w10tkYgx6OSmqUdOavmnrIvz0CF51APhDCHOQAj150k4AvzfQD0E5TspiyOpwMfTLOK/l
GKAtoui9HdWXXH1mq5cg/BSbDoOTLwn7Ko67LnsAYyunbtrAzXJXXJ614TyE5xgsrUvjRvKTAsQp
dngU0WY5cfbt7/xLXu0ftVOJTW+zZdaCNVm4Mt9OcQyqpbcQ/eBa5Sn9eU4FfQFIPtoEx5PEveTp
PdysHgTvlM+4ntL4/oz12C7Ofs6yZuHXsw8QnyalLn5KZ/DShh/FKdtRM6SrL/6bpmnA1yGkYRZQ
zYcIi5aGGk0IqtFypwRUwzk6tNknFdy741HoMXrHPQ/8yyTQhr3+Eqf+v+WuH0BoYRXJZZJ/ZXBO
1VE7B6MuuKthL8AVEoD3vNO2oovKpa1Swq2/PAj+kUy+H8UOcBcYnMF5G8IzGDPtcF/ihbWY0XPp
8IfsDBJeJ3TGj35LQ1OiyiaCgyhHrpNXccipziFXBuolM8p3pRctuua1j5GX7NbestqNNtVpPLTb
kuLUrnfw/a+Txb6TTbIdyO3jePVqhQom1bDfNVO5a5hgx5eKs3SFlU+CkTKFU2gDKGzn0201v14G
vJBPBAmlqogTAKjxeke5nLNlBX+gVyGp9JVH6Jj0eBQkSDRb4d2MMWvgzylWcsd72m5wUKEIzWyj
eSxGNFub9dCtZgmp/lBRdOQvD5lvHSF8/6KUGjesL4bX9pW3QK+enxNsh19t0c7sql6KV02GkmXy
qDkA3kI7R2OjywCMU2aMyqrdnTPHvb1zX+/hGyb7FQJfOAhwSYrpkq2683vENId4n+9SP0NTCncX
OMsWH8k3eqrzijm+4ZJ60WxAfJrldlUoyVCfGzSD36mYiEw9adfftx57V+0HzRDfqbNxt66YVckI
l9rDk1Vigk9l7vrHyRPsLDe4LdrTJ5t9XT6SexBVY9i2Ay5e7vFHFizIprSb79EYdZycHNmc4F7x
i0I/W5Mlsnr1oL2IlGQnVROJwAbDT3JQhPhIvI9ZR96jCBCa7WPnZXb5sHjxJjwNBgjagH8VGsGB
36YoVrXPoHn+In7n3E9kue0FlX6zqPVgDzBrSkZy9YG3Tpxw0rmcBX3WosUEt6eMKU7UKeuTCEJj
Te3ROwlo/JDqlykXAwmBO7ZdO6lruFfqQ+uGuqc71hYY9sEzjwmZ2yp9vXP72xl8meGFSoegBhH7
r2RF+85g9Hw4L8P9hE5i0CxPGib5lHvQjhgac4ozTPYl22DY1xK6JrKH21/yl/fTPwZP9hrHCjrL
wNGaYliK3ZW7ZQuwF0v1HEN2pVUJ7ir0HGDTe71waEUUyjGT7ccKVptyI5yNFgiHsQCdaynprJz6
UdSf+1K8m7MAdPW9c3vNf8n2fa+ZcMUZs8R9WSJAY8bIXMS7sd628YENQLn4lJTnKQYpH+jj/qNU
wrX2VbCgBQkXUFtqRgxFrpnfLYAF2VMtum30JmbnHmRGt6XSLt6vbq4LTWPUco7rdTQh0Gazys8F
6Mn7wuT5UOfLh3L8DRxAXSwXnY3BXCkdxQXpZVA73pfM5yTeFcN7tFL2pQ3lw/6SIvw+BMJVlkxf
ZvladahAq6jzmxpdkxvGKt4EZ21s1MtfVKu7ng36Fkk4PpAwtUG4ZiiqLVoET+GOeetTu9kE1rjp
rVzCiAwYxSkZGppQwpfJldyUzFraCbtFR4pQBx1Uje7g2+e87tafHhN49OB941WwL/4MolmmTgDV
LOGOrDgnHbZ9zptd0Fu9Ssva0STxhKQpFdKaQcIpQg4haks3yhgrV5oNGvHebi/qLzHb96oIQ5XF
eOTEWVlrg9l9WusZEvN3ADuLfEZ7xFCZT5G3KsCtXSRMlJdHMQ3XCkuNVn07OQBI1W0fwo3IYLB9
McCzstESs3sApKFHEX1dTb6Xuv78wk5bTWQqsYFofhf9gsHhJayne0zV+8vvyQEbzOCkdkh5qlI3
mDBCURH7ZoggdQTMYMTpeOxt1IO0ESztRaONK11/6H0vkbCEmikkLpEwrpSVrKUNG0Z7SvN9XJ2Y
CGCq8VPILUYNXME2Kyhh7V88/j+iydxkmeclQKSxzioys2PoI/r35YMkgWUNdD8UW6RKI0wkEFJl
CnGPuYsIsvOw8AAR8dgWSLFXk+hGQ/CrLtmPcR7sItdciiKtln5Dh8mkn9Kh2QK43LhmOMXKS8D3
RGPpjCrn5YJ6LrrO7hmArxTAZwDmy23hFPuRCAcbV5WUFgzsVWz0oDeTyHiL0O7l3JayWuGtFRJ6
pPELRuwUbG8ccXYRpyYzUFSV4uOkNXC5MMa+Ejg1ZyAhjI15Ap2SBYbHkqPs1l+uwH+0kkyYTqww
Ak0L21U9lxbywdV9ueHcyccgwWw0mNzeRRQUxesR17dE4hmeq+g50tauFXbIZRC0yR4/zNsahIrJ
VDvgGnXkpvmIqAS9f8k1fQsmTIITQrnJVwOMvMVGY6sZW4ylYnZHQtqjAcxPZtB6ZShqQk5+LhVK
2CBgxIM/fW2Bo5vnz7f1kOY9ZeK6AI2KwPcyzi/yIuAFbip7ev+QTtG52eeUhrS/tMl8byBxP0gZ
kIqKZTVry2cNYCZhymh61lzgK2SqDoyMDW8yjvgheskeQAN2cQJ2F2W963V7w/BIwvawjsNuWgtd
ce72wAgLd0jUhrt5Ozlrpi74LGnDDtQtJj3KMI5jG2OLa+hrJrhc8yIBwH5Sn+Yl18e5NOVMw/u/
tPOKFqJSvJlM+BmQOk4zI8ALgOJdG+1o1ifMluApTHMEFHdDzvEOS7nIOejK3Da0W4G1cvUAqEOb
YSlujbIgEsKlKjRGQhcJshM+B4ZzR/Xmj4nGj00JZBTC0qsS4ADRBCGCHL6A+P45yVlv5kX7tjJS
rJtkLJIYdRCkYVWMtXcoTO0uEs3bImgrIcy7VmIuDNboM6wN8TMDpi6NqoPmFldSxcuLJtayoM3W
zqHWUp3iHk0gkhvrpZECjE0+DI/joUr1lhbmUkIEhYj6hJEJ2aDGwjJ2L1ZPGvr7pcHvRifjNxXQ
rYPASGLau+EvmYZ/PBg5uqgEGCpLUqwV5RdTObwOHsY3M18D0hs4b01mDzq/e0wKeqHZ7ALKU4Km
+sSNXo5S1Emrq146L1wH5DOzZFOD4w51c3dbbSh3LAnBM+VK1w1rRb5F60eqF372Blw/O7yjZcko
JkAOnyU8wD+ntX24rPfKEIAdYKFEKH+pbP9zZiqhn6km9qCHxYtZ0cHwCFD43IoAQLW47W7tjez0
j96czYfGwPDpQ2SlQCs84dFpnJALNn/TXAttZwm95btB6iIFh9haOeJ23D8iKrL7mLdoWIUUj0xO
lWlxNC0CB0mgVAbMfiXpgOVXqKPoty9UcSWZuzT/oEjneAggJgJGEGvkvnZEM7ELUo8I6OrsM0Uz
/5IM+r/jRKH+p7wCLNp5n0BjeKfweGvRuX3+We9ydGVXLsYG8cr8lBCgLUdMaRxpcTtVPHGhdmk0
dfHa8DNamWgsPpJOx+WpYXWgAgOpLj9Iq2fwAkOw2vvxnbFvGybFAwE34+fyoyphqngtbgAS5ajc
IRG2weWhGpqZbFtDFvTAjfayWZvgBmOc5Ex7hl4DekSzzj/7//VwvHhXCGwxZqOIDUhiPd007uIf
Y2NyYwc4Ua5mc5iSRdRvpw8Chsk7vT4su+5BdblH4LpbrVM+qEfpvGxQLHyqwGyPXDFA0hgdVAs9
Z0wv6WE0Ck/bNg56fWin95ec9ffHE28HYSmCSV5fKzkml16Zc26A7kbkwY2h6iuaI6Zd0bfcWv3T
7WOjPKfBSfzz2JRBwGCPAMG8k92XJ0zQHAFV6gW+9Ou2pNsXvvj1Xrs4nhbBkSh+9VIltiae51oz
u3n4bz4VzE8/l6NyWsANEbRwNAZ7tiSb0yM7sjsdxD06Z4h6boSbEOijaNKz1q0Fj64dGCv5XmdK
OnoGDWAq0r6K4orIjuwJgBiavNYBsu1iT/YBlT7l1NuBHYbGOkzlAXNqRQgGouemvGf9/pjCfEAJ
B0p7PdkJR0Cjar8YWqhy+94GnePPzWrlhEvDNTSOAdXWu/E5B5eZKR5rTJMJRu7FxuDONu/SCBlo
cglPyWgAL1AHWCoygaEfeCEmq2vKm+66YvMcr2igapNlcm5X48q0ZGpognKIRGN+02yAKRgq5oTf
tONt1b4+hvMti5w1WuQ5BcssZD3Xj4zNb8DT0LVG+GvaPSSvLkXYVUO6EEa4Ci5jplSKIUw6LIMe
GeGpP49wr2Z1lz2KW0HUZxdOK6EFCNczKheCCVeRBvnEsGuMuZjgrdG9gAf8PBPqIci/DDHb9T5l
qVdDkguBq1lduIxuntJc7r6OsN/nO2RrN6I7+zXFDmhiiDisjOKi0takXoAa6MfY6pjiFAWTya3a
zkJKkoi6i4TRZX238OkCo5OUwcJ49zsbRqdRHba8oFpqyOnoofksysGPy2kbc6nR9qIzS5x3W41o
WkTYIBst3NRzWPS87JYiN6Zq1kf26baQ6/04FydIBAVBOOQYYMcJzhtUT86S2T/5OzSO+9PTvJt/
1RjFNlV/+qSIvRq886LCSeBplFgyVVonagwPI2AChmFAsB7rSo7Jbr5wmc6Jx10jxS6f8r46TbqU
VsChDwsX8ZsvlunL7U+5/iXqGphIYCEk2yt6wOgLbYnSUbE8ir3LY/7otoCrvpT/FkCoE1tLqThl
YgoQmXtMwSbv/HwU3gAidVvMGj3+kZ26EEOoS8lqpaotSNcoz/wjkkPcpvw1+zQUoOtK+b0YMoYV
WnaJA+zWGGFETS7w2+QxlnV7LdeHhy8WQ2hlpKpToBXYM3432JLdn+uT/BK9f9Rm/sL6yatCUQLK
Gf3RkDBHAhty2Lx60YfFrAHWsg9FL6UlZa8ekiCxvKCwQOSTiZtBqAc2ThTYtAIkWgXp5nqfg9Yp
z+6FEEDZLW0E4nrUeiGQuBHKORKLOoR5d3K65brKlKbCbxcka5MRbG6q6mf5bIpNiGlwzWm10Y05
edNpyR1XRKAjzlo/S9t/098iqKKkyQqGtMlEaiLkQdSvJrd0ga+K0YHTok0dyY9M2Z+TlDWakjek
XKQ49ut4bxdyCRMJx1EUpwiOXRM6UW/E6KQ0k1FG7X1a8S/syCIbwnpZEBx5XskMnmldhYusZqjd
ORaslMs2fNy8qGLoS1J6n1RDpLNJfkrCYrG7GmVSYQEJXAkgfaHgdCnRIr1QGso77roOfe8eYRsT
2slLvoFtREr8NAeRW4q5K4zxkWlmUFRIx1ZElva2QV51kqIkgOSWFySezLUsqTpJEctBjcq+02Um
tKfxX83TX8gg/OSSj10oNTxuIg2jWmngyaWT5p9K/NKFk5VqKsXJXHFl2lqikBQeaK48+RwWYyy3
43AFJa2kL9KjPG5UjebJ/tw4/MesKsgs+hL+5KoWGXVkahZCwvFtRn9jBrd5+2jWbfnp939KILYN
PCpyz1SQICadozCDLrSNESBfE/IxZcdoogj7iRIx6FMeogA0uslS0W46cCph0mycaHHJn4fzc1XE
PcPKQ6yxJRRulvyQw2x04tUhzRv/6fUhBFD+K6a7omnkNHlV9UKvTj28vszqzZLZ3eIJS2POwmdM
G8elySKOSR6VdtBayCpyMFTMs54mn1zzpg29MRcy5Tl7JdWElcmCsKKQYnHkSI4SsVUcAKjYnU/R
/a7bjo/CU/o6uQvAh1IDZTrN6b3qYfTwBpEob60//dMqW1ZWEA4Rak/ccZwwasuSlmsvTv+EQqvf
LZotZCxwmMbkrdO03VxFlHjySn3wp1DinmuDOq5yBkJ7K96PmV7xpmRHxsIhWVvuskcOXMAPxet4
6PbxUcRrCD3GlE2/auoIZhHSKisYLvEWioYikzkwiLpBjXhV3KnBQjH1K4wtWKUqaGusio0la7oJ
/oXl53jtVqw/h3cA+bKjrlggaQpemgNymUa9q+zmjrWCl2gfZRZKNtWDLLgdZyMnxlEzetd8D+q8
YDzjFVYim0aZBfNnWcckbtXn7lJXO/ROU4p2V3aVY1mVZQUUHFlFIHwON1fqUKZq4srZ7A9DtFdR
hv0X+wozEVVFws5isnv9iItnbFbw4FATRXSdbxj3sdhOL/GMwd3aqXcATDtU0B6wDWJKAQBaaEJP
fPa9+OQxPTy7tFnaK69P0F9efMvqGS++ZUlKPpZHOXHz3/xo9ha74+Cc3NDTHAAunttfIuVxfSXY
/imRcE08Zq/yuMDqM3QbG8pdDbadcVchJXzE9Fp2ToFg95nQGkL5K37ix0IJFy+LzBJEvJC4vrgR
H6T30Ckd2SvBsAiIU6d+kJ6mX7XB3xf7BbODjuQpL2NrlMCSw5yE3Onu7Xv0Snoc26AqLCj0ZHQR
ktzT5Qww6LCVErdnq8gYqnLD5wGIdMsN/vW54oXMVGP2YVKEXRnPVpiqZhImftZpW6UD26CcIq2t
CNGhLgvwKS8uG2R2gDhNE2m4JFduR8x8sqIsayBLlciKeSQnbVTGfILSV+WPZeMX4ESOu/h8e0so
YsjBvJ6vRiBCQzGmhLsvZgHjGU1tJVz4/90jip3/Xg5ZmAdXqxIVCTRhrnKvmTCA3U2+mI0URact
h7gjwHeC902D5XQ9p8/z8yx/8IV3e8uuJDV/roW4BTi20dSxhhBBH3NLXNDVG/ZGD9bHl8GZKTp7
fUUIYlVVxb1ABjBRqSGEYebEVUOR05cl0BcWc12FllG8ME0Q6SJUqUbT7ZS4DJ7ETXZiylmfFdr7
7Ep8uY4y/7McwtcLjRIkdbKsjkg9RQ/p76rU+Vrv7ieTlfTKFA5dpKto5DOYk7RiHeuVopdH9UNA
NNOcaKhqV6+ei88hHFRfVLMQltjdlMeMB18bAvP7trbQtpV4yi0cN0hMysGOJbT4ckeUYGy+omzr
tWXg2SbzvKDxCk/C4KmyEss4PgiZdsI6Bz9TAp8rbRxIIAoqzwkqiJEEMvJRmXEAFwU2qrYw0iVt
Bb9Gs7I/obXtMdtUZrAvNoVTvt/evGvR0A+xxK2tSEOSyOJ6PvvXUTbKfflaWYykCyfZHJ+l/QK6
3uqxOSPWtoNPpI4zj99rngBkoZjyLVei+x+fsh70xaXNgYps7XpN3AjjYmIPbD2B1SMJc2sAhsWo
0O2VX3UylxtOmKPSN2PPRDAUJX+Qc0bXOkz6h2Chbh9YDUQ26duiAq8ppeRtrqnrpVjCPsOlVjOA
IuGGBChVPj9Ppa/2tHQpVZsIsyvUPhVTdj1WEcO48KSVesqEbRh88vyuDT9L5KQD9dQ1qc52d1V/
LPDIqVrKHtPWSpimhEixmls2cSU18atBNPh53kZ8SNnSa8bJg/5TlRRZBFb12qt0oTilmPDCmENx
NIx3YTzSUGcazcHVlVyIIN5jTdbUAiuvvnsQzBx55678QOad4gSu+e7LhfA/F8LNNVIpBaRkIWsE
PG9OC7AKs01NvWFpW0bcsK3cxk2g9dDC36wlgDLyPTkwewyR/mZOS6uPfkJtVPmzYwwO7mILCU8z
RUkazx0W1+YfQ/WiLWBTjCV9rE8dAHUj0Y/DHc8/3Lbyr8oDkdn5IXU92AvdGAq5SGJhTADm11v8
btSzZ6m1lm27yYzKrH51Loidkv0CgBHxCEz0xuA2AEG2qh0NSYOn7Tlh+YkSlB0TYgMGu7tXYr04
MmfByd5E77Of9GXPOEGvV4Z0z5jFJjAak9/74aEsKEa5mv6fO6JKPIiuMSJIXmUJWGDKTu7wTuNL
a1LQJqQoY6o3fcXpuJZsicsPcd9YlINYbf0PsQBsYjU8cQXowc+DyKWuSwKmxEslA/2osK224Rks
6Y1bevxBNJV92ZvyS2ADtPipBzNIaIzoL/WAr6oUSDNkTnugBH5Xz+PiiwibjmUhEPoQX9QIo8H1
qcnNlKjh6vOMF7/3mnDDasYnggRHD1wCxu1eRktBYxYQCrxgw5w1K/WWfec6U6in9/KWB758Yygv
jMt56V1+4Clu8roP+/4YwhsPWVqNWYyDz2pP1IxFKnSheLt9zFdqJbBySVV5ZK9QmyEfgGMriwih
agRKlhTpvTU6tTM+pKfUwaQMAIVMdGk9dsY4m7cFXz1MGekNyFRURL8/1WtR81YtIjg0sa7dEqP4
Je2WuZYe4/gLEcT+LXLZaoOG/eN3ooNRQ21lY5E80Wm2K8jiAmqo3uD24kE655bnxPedYiiUvODV
M/z+BnJGb1EqLc5mLBNc8fqcOl2HNF1MUdsraFQ4xAspxD2UlX1WaxxWitZTD8OsNj/rsiXupK2C
4HDH/U6PvVlvkz1mzu9oS/xawx+e4kI64bITPuaqOhuQvEGtPjdT1WD346YEraACXjj+ObUxce6o
oGc141duj44Qa6z0GLakghB6ed/q1Yl7YM3w2NsfqYGpBp05KiZN4a7eZxefScSPoLPneWDOILQy
l0O01e4akztyh1yXd8Ep2IRvwq/EWe7k2dI++keEsTOABw8ZONHnl/lDfAYKQ2aIh0wBB3PufYRA
+QJvdox02G3LuBpWy+CyRZmQk5Fh/GkZcx7IkabCItM2MIvFXwMktqp0HgxXrfpyW9hqZn+e3bcw
YlNkKWn7WIKwRdoOzC8RlM2I3Ls+NoDzr3eLYt+Wd93sv+URd6qGdx8wZRs83pXxGEfFL6koKYmV
6w+Fiw0kXMugosdqDnBPVABtVUMvCCNDaXi970UdSMG6qNxHc2yG7Pn22v7icL4XRzgcEJ3PKHxh
cYwPuqBD5+WPDMhQ5Ado/2beSe5YGCKoiTt3fFkafXgME53W9EXZ4K/NuYyf6m7Jmxha3vwPe1/W
HDeOZvtXKuqdHhIkAXJiuh+45apdKcl+YViWTHABQQIEt19/T7qqulxqt3V75rUjbEfIqUwkSSzf
cpYC+Hr9OvXvzJgf72j/uMhv7J3vBmChwz0hMGN8/1nrL6G3L6Dd+/M7+cO4+s8n+Bb9aXI6T3WN
i/A8HbP+ilfHEHrqLVqi/7eB3oTVDpKuhmg8sdDu0nKBUuSgYgNDl9a8A/x777adn9t3t80aWRHI
DiN580m6l01xr8k7G8d7j/7N2pI5CmNBh7tWYJIHDc9G3SQ/v18/cN45nzR/Pv03a2vio+L2iJNG
JfISqP/9su23WF9TBEF4lIcjuptZBqEDCFht83cW2Hv38O36KkRbsrXD4N6taS5X1Gebd2KuHzUR
v7/Ab69/95x8NP1nsmB6U5rYS0r2z1AM2vbgDq837ibc0GPkfuK3fTZsmlP48vPb+84Fvu0iks4S
zgKPmq3IH5f6UA0smtx3JuI7s+Rb1vPdBbotrzU5B3wzP3YOlO61eCcrfu8qzq9/N4LHxVIODCOQ
8WTzKWp5lZHi4X9xq/5MBt4K6vqWcgExwFxoCY+0d58vTkzGd6K3H+cD343yJrCqy7bmtG6xP7QR
Isj2CPMQAplPlVAe2xtgs49r0uyynYOU4LjcwwbMexFzVB5LuH9DQvxZI288/fzSf3hmf/el3mxa
gzPX+eLiS8ED6YJ7JG1cmglw/CLluNuO8V03OZufj/nDWfPdmOfXv3umIMUpPhOB2z2Sz+i973U/
3vx8iB9Om++GeDNtNBGEl+d73eddxDj+ot7eQbj2/zbM24jHLkYLtFqEV7KIOPFiAxKDHIP058O8
95De7FVlOMBxpsUwtMpT7n8i87bmeEItXGm5FxWQ+Pn5gD8Oe/68f2/hD/U6EsJXjMi8VIwsAkRF
X/ipBx/sikYV8rv/TSTw3YBvHphZQ9c46F1sh3yI1IzZDrUi/u528s7U8988sLqYWAk5A4SocClV
NOLz+N6tO1cO/ikK/u5K3pycLQ/GRg24dbxuo7GGGBLzY2VIbDOe1MyKxxFAgvx67I9Gvkc5fmfe
+2+O1KWYuX3WqgDsDqB1fsMtk6ztO0ene94UfnKJb1EUouM91yVGqe6tAWWNs+7XlwVydBv6Ety5
qdwNKX8s+2iO3b0D3gOIRVtkR5+7e0i+7GBtxu6BgiuTpsA/P5+63wSJfvbl3uwupoNqZs7x5c5i
5fIwZl4Mr8H0rIowpvlRnsTNdAthlmgBhkfFyXJgD8t22UFf+GIEja54LrPqZL/LCPkBgwLhzp8T
g76Z4pCRnjlf8MWKFba0I9xa+D1nOq6bL0ofNfLG+Yn1dWIcYPP1/M68fGfmv4WMLhSoiO4884l4
HJ17Qj/9/L7/MMwOKEiN38q8bxXMg5nx0nGwqYsKFl82ZBqdPDNLG0Gn6Z1L+eskDzwUmAKPAjDD
iA+5orfNew8qX2HXYYXB2bgIzT6cxigY3+Ountfpn/Pon0Z527vXvYHG3dRgb1fOGJeOnU3luLVF
eHLdvoTIDHunu+4Anv3OmOfXvzsZKe0HXgUYs2+go+U0GvKeFOmzqx/LcIbcOrQ34nqRJx3ArX7t
noIKyls0UDxuW/6FGkjx1YsPzRhyF+YVi03Lr+tpfJ5bGNgpqJG4fb9zF5iail7fmQ4IJ04Fjkdg
PBOvI8VON1AuU4GAlFVbfAWFYFuN87IVA2QSJXaUHIIf1qEOx/WpFWDUHjQlPr+YG2cRh95XHk35
Sr42C4LrGJBw4ID6erhcK3DhmG8siKEsKXMU/1qqqr9xV7q2G6JzlTpmajINha3I7856mqMdfl3Q
9wkShwzHZaRFJI08yhYswaDjMlmMD6dphS3Wcx0vW2AinLgrpLGKuj8UEKgplsWJ+tK9cubhyGuy
N4tER7G202qpdrxr+i0byX0IpYs8XPew5DkYtz0Uc/ElCPoLE3xyyMMsludRzTfzXKFpQeVhKIPL
zu72RdVCwrAf/R13m6di5GOmOiioB2JT+5JE6zhtaqLSxmZn9222Mb2M2tGPu3x6sPIwArQyYkF3
z23/0BvqRMMSJNPIk9mvX5nbxb3roGhDPlKzHCsb0n5dBUicX1iXXYMzf7UrUKaJn/TenKJAKSIZ
Iqia+jW2LbNZPYM2n7NpGbRB29K95J09JZyvwAlZnklbXaeK52CChkBnVanjk1PJGxPDh/dUuGti
N7jAodIHy+1OZhrmyKvgY0P0bqkswLs651MjqjoJBvvWBua7VCj1NLrEM66hp+55KWXdrqkV7ju0
gBf4GbgBXDHMpudjGXH7qcf0DGiQCO9VF24si+UqEPV1WJ8aAhdmGuzK6muI2hkAbhk7Q3JDHTel
ipq83YSFs4EgRTIZaMJUznatwws36OKZjolaFAQd6CaX4sJZUFp30WTh/IFCpE+bNgOI7QA9vUxL
6xODrtKMw8r2xlM4jAkEymIP8md597XQZeovzbELQF4UQ6bgwADcE2ovcIYaYa2lraSjF+Vapoxf
zlAt0mikkNZOqbskVifuHLps4DYf1xyHDTuX3wMQr6BTZZst+rRJTYdDv8LhbsY6sfMtNdOOljKb
MUFLn6ehkncN5me/eJvOLTYLZHAixM4R79rHGfE6xWkh1nobtP6hMStQiniAhsbrctE0HCw5N8OJ
CHj2qTN9NIXuYfXx8d5Fr9gNaq3pmgdRPXixXdnpgqbMMOgubkmVwJoNsIrxtYfIgcqFjgwPvrqL
vWdtF+sKxjHS3rGORIh30rXts7UZUrgl7Lswj2q9wMs5TKZep3penl0VRg2dPi0FS9wScqHSy+xF
bYRXZtiF9k2Tf1osAjFLuHysJrIDGpuhS4HfuqhmO8WmmGl8RusWlwVrD9Y6x7k9Z02p72xjPdsr
u224tfO0eBpalbpkTCyn2xjSb88KkUzQaxrY8bjqZByDuGtk1gKhN1VBJpTYtla4K+02ccZjLapE
BTKqG/9WY/OwhH9oa29DsCc57tPgsMwb3RhbCSq2rD8VUFqzGdkjk7kIvKdxhARwXSWFgwo2rAP7
Fldkxt3QopvVi51Bxwcfx6Jl7Y6uGsJEmTWBiGa86GbX+pgL60Nb68QW04W/1BGoPMmA2zWirixZ
kpc89voykRRitK4XlVjmveGxBCza7/xsdkhci7NofpBxXiZrweKhqWLfry7g1HSrxZS5w5w0OU/d
5eR6oMtX/GKU4lmaIAtbf+eI8OMUgEtK4ADhQaXVFhGwfXs718eVkkgAyKb8eVe2TeJY3ks5ONtR
ma3rzBkfw9u+beDiPkYE4tSFISkzeeYU4Z5yaNNawQatmt0QiC3pQDMPwUKvIAtRANVdQVla1LEQ
OpmHJutmEldVG/fNUXMTs6Z5bPh9rudkqe2kgy9LP4YnwV7DNn/JMVNkb4P/dmURdVvpJbLKL0Yg
I6PMA/DuSYQqM4weMdtvpBRJU05JU+mrGolA0PVJUUxpXyJQJ18DxqPRHc8C30ml8lg4Kq2rCXXe
Zw2fTdviGw1B+3rG6oIS82qtEMMVsYuilYMKlqdabEPQAdBsv9Tlni8XDGz7UH0tuX8U4qo2XhwW
ZTK1j3V9N/Tj3u7zpG9krJs6rrQbkebJYN8O82Kz+t2u53lC2i5qpvGyqb6O/fNo660s4BMdfEIV
LR49nbGwvVgdkRQ4D0pVbItGxYN6KvuPvmOSXLF9G/BN5dmxBdh6XXz2xybrjR1JaUdhQ1OHs6NX
wFmSNwlwyRmD9HFnmjio10sooMSV9ZI71wHEf+phzUwJf+9CxW4eJq2U0TBiG0I3mVSQPydftZtH
gwuCNVyz52nGX/jVljgk1/zkQX/XFtU10NgZ8efEzWGzh5ZWwMEkqU99RyOFi8rXro1Ub+3KZkxd
B6HLXO46C8taDLGnw42wrUzMTuxCpq4W9rZH2mN17IQ4O+b8RgX6ikl06lYg2k1jogDNdrhfZzy8
XrqTZvDTWLo+xrrZN/MXMLY2Sysy4am4qvXj5CxHNrv7ulsTCPLHE1QniFyTUltpNZfZ1IFC2wbx
WJsIZqnbGk7RPtWfAWXKvGXa+0u+KRfUNbGrkBq0e1seee+9CmdMeQk2mUl1bSXKC1KNSMWMVy10
wGRnwJhydy5uvCkIdJAg1UDWWLgPpgGffljivFkjVrkX9jhmEueytMpoLk5GOhs10nQaoTVk0aj3
DZyz8xnqU2dHvDrRCKYEdL9LJRKvHyLIFQCGpBPXs1JnWVMmpiiAeQA4MYmgzz3sa0P1LBoSgYQZ
yaBP7LZPOrfa5N1LlfM9Tvx0FpimM9j7dZNVJRp3/aPbkoySNV051L08ERnaJj1rcEjBDd4K0mYh
EW2DtLB4LEK4OI5YCs6a9dZnPU3bQS17wDYOeTXtSgmjQn/Yds1LNTy7+fPaF9s2bLeNDiIKmJxW
Q+byaV867tXsLReQwbXHS+mxDfxTY1UOkS/hnTysEe+BPXdosvoQqMdu7PTrTvrusZ7URi7wVQi9
o0QDD9K2ZYsjaDiLY+Dm1CxdGnLH7CPtgZh0rxUBhKEvMXegvDG1O6cZ9mb8asjHtS4jU4MX339W
zlXO1c5FsaSR8DJxWaL5uLN9cA5AeTbCwEGYJ5VHo6L1kgqb0VKR2zJYo5kAwE3U09Lze+o9ev4N
RcdzMFVa9Z/qAJfqXTgKs3ko4xxsv/6M2snLTRFg7hGQf8kX2s+Rnkqom9G4napna/hEMFKJbIJ0
a+zRBtdIXhYCf61uSWais9q2o6qBQXTRZHT9mFtLrK31s1uijeoDjJiTHe30hrsXof7YlU1cOF99
K79FXEoLOzuHVYOuNmNuDmyc7rmYM8Xqw+QiCpFPlWEHoCHAlByiAAd0KR9WZ7gIxFcItCXj4G5m
Cssjv4sHBk0QzbOlL2KYHaTTOlQQNSAfxyaEdEMT3hisy7adrlyLZasoLntiHdyGxGWldyWFRLpl
3/mdG0Dqm9wNVXnh6eFjHgSZP3TXHp/vXDZuZ2PuLN7VMSyQ4CjQwRK2gMnOubXsvU4EJD3Q5I13
WAdzOZYVfuMV07Hqj7P7dakuhqJPGTiKwwScogv1PgQ8toEtiIAVq7rWZx+MQCfE9Fkpbla3inlu
jqDdQ0YqhSBFXDsmkv2azMhrjDlNwYurr2ZBImxQPOH9i+TXLlBgmiEwcO4Gl26FC5HHSkI8w2+u
le9eWyGN2rzc9r64s0YI9xKVlNi/WRvsnCrMvFXt+qW6Qss3CTCNbQ/KH6g9o36DqKc9LbmXyMMS
T4JvxGB2nqh3FiHbcq4RecOTl5Q4z/xri+ptb1RihSjxlGFm++uVy+R+rdvr0pIfna5K2cSvpS2u
51CcWsjSw6zgBnLVd7muTzq0cWTY1sYukGcUbB8Imo3GbMYS1RkERZ1DLs9n7DzKXeeDstASUP3g
KB6NCFMQJ1zo1k25trdVJ1NT5jehyK/DfPpY5sBrm7C9Wjr/YDn9dS7E50W1GzsvUqdbd17OsiWf
0qWE2Ei5QlPLKfN4GsXFLMlOr/6d8UIYulthMk4A+FJ75+Hy604hjpgvlR8e63qNpaXiZYAFGDbF
J79t40ZO6WRXqbKadAi8lLh5UvdwNxRD0jn+reQFkgOuk6nws7JTCN2hAAwPpRFpejy0BA1kRdMF
3Iw8hC7Pglda9ah78oRE9GOlwkucegertTI5ttvQqetoKkMvqvE/Nu8BFxu8AzFuqmZnky8F7jgD
8bi8Met8E9SIjYMOkWj42E8OFB613okZdK6hY89DLgLUdKsK5zjClnblx7kojsGsb70WpJFCnfIe
b8prkXl97kelTXCQQzMvkrN/VS70bl2C+8Wfdj7SBhjKpgaZGEoJVyDRX3HH2UNO+gxxbXDmD02M
oHk7F+LJ88ad55V7t6MPRSdi4+NRrHoz1tgR7DAjtP+8rtiIrNEcFlde+A6SAeYDi0vETYjcRmBr
sZFVxMMIlyzh3tkr/TJX1QJrJY47pbMG4q4JmRHhsvCzzxDCyj6ZLJUq1z66RQ6fnOWq0fYO3jWI
DBqyYwJxtJl5H9FxfgGA1CRoGAOiMWIr7W+7Ik+1ZPDLrLLSm2PbgW1BAKmDZer3wimwaeSHxWof
RTFu7E7hpKzaNCgh5FEhY2NdxiZM0nUqs7EXmXTadOJFEoZQZFr6y7llEfPaU2Uh0AxdmkjjDFFR
wXBU8p1avKu1sm/llMd9leMw867qAaexqINLvZp7WagOMQ+9dpz6dq7P99dNC0QyyjcxmW1I00+Z
R1C8KL38cpX0tlMhMsG6wzPTsQM0FiF92lUC36jcV7q9aLphM7dLUjTVdcBV1hN+tECUjobGO84C
nkKzo0ECaTN4+6ZrbV3aAwI1sIxx3HEonvW621RywTHSufjkfI6c1drgS3ZIS8y+l2pXMOB0qZEv
Ygz37RCChlesWF11vu+Dc1EBhqxJOZg9uL+PHGeR3y4yUyjZuKOP9r0/tnEo+k2wyn3XFUHctC7q
7Z1zUzT9Q7kWO8fC7GRFstbqmRs7g2cF0mY1HUaRHynigxVgZI/BDZjbj1OjX8rGvu0cCXfDZr2Z
G3pptfLYUqR6nMRhADTuBEVdQ7cQqLyvGwv6wdBA64e0Ce3rfAa5rV8OerZeBzBhtb3spFnurRA6
tVN+3zn2JymXE8zAk2odMy5RnbCnrfAh2M3WeGppWtUg1Odg7nPznCPf6mt749T+lw5hXxBayNqb
u3oMbgcvOIS1fxvI2sQ1euSM6AtEabvcb9/py7wBk/9eBmVQmQpR2IDZ+JuqdT9MNbfPtX4UhlCz
BmMgBouki8LLTSvSASYgmkXNw6nIZPqtovxfX+b/Bsb8+rdaq/77/+DnL7JbVFnw4c2Pf7+XAn/+
5/yef/zOX9/x982rvPwsXvXbX/rLe/C5v4+bfB4+/+WHtB3KYbkxr2q5fdWmGb59Pr7h+Tf/f1/8
5fXbp9wv3evffv38ArYfkgCURL8M5NffX9u9/O1XEDFd0FvRv/uv70f5/TfOl/G3X7e4D83n9kX/
+I2vn/Xwt1+twP4QQu+PUicEfRRENnzm9PrbS84HHw60PnVDIOI9QL9+/aWVauB/+5WwDxSctzNZ
G8IRgOL++ouG3sBvr4BpDNKeTYDgdFFP+/WPb/iXJ/Xnk/ulNeJalu2g8blv8c4+jLHwUaEHUCaI
M/43JbvvKtmdImHXLLaz4U4LBSxVDNFSeF9bl+VLPNv1+GyHGoq4SoEIHMFxHYQIWhONQJmVKvxE
BzldTB67U65/6ZcKQHXW7oa+ufVkdxkOwSNv+c2MHyItxPUyeGnfIRxDaR5Ov065XxXwCGLOP+U2
4hZf3FJNsaFOiTYITDsSbFEcPs2GRVz2B7dE2UWDL1Ui2pDwjpuHj1Ki6+nZeTbkyGCnArtYw/on
YikrLkg9g7Q/I/Owk9rud8ryvzBqJ2VTfgyUv6kVe2QKzWduWbFou9QnQzx7FCW3Llsc97lrrSOw
1y/F6hTAuizpzGdsUcGFWE2fLuiRI0AvoR2idl1RF1E+8r1U7SNUag58RekJSjXPFaqIfsiOjdM9
QDshwdG36w1kjnD8XzWqSnEAPRhvRI3JRhbY6zGa1+JrnU8rahfwukRNMKZNdQLnDuewZaKiGL+2
Ri0JLubF0CKxNYxBczv2LJi3FUGxr+fhCi2gtC676zmw3aiUfBMQfhhZnlXUZICYb2mtEhfZjvGD
zdivZ97xSfpABDvsJNkcoxSX9Xb5qixECXNROQkpQKzwxYqSF04/YoWpGxZwAF3hF9W4h2ZlkSgR
NIjihlRW6sK0E6KF9FMPdkbC/BAk+RbBaj/G1Lgosw5JaE/X6B6hOgZRChOEn0ZFboxt7RzoPUR5
Ze5bu3mYuPNEUSLLffLQTOpeFcjp+bTNG6/Z9CWqkEjqkcghsUfdt1xOltbb3JkuXdVkrd+Osc+s
J9+YG1ZjLNpMbTTD5toXch+U7qYYUSDpoDUqdUpFm7U5fXY7VJxaqOYCLbZji7pu2HJDhjpDWyJz
J2QUoc32cLd98tfmup9wdhdj/jr3yIUdU96wbqmgoZVnqwVtMiD0Et8A9Kzci7YJGWJbvbW9Coz1
xU673rkv1hFF46naLDkDn6SdwrgoZjb3KH+uDWzjfISP95MJ6KaYRorqEyIb+0arMWo8nj95y3Hs
Z1K+/GeD/7bBnwWR//UGf/lZ68/mn3f387v+2N2dD9DRolD1YqAcQuELjcA/dnfyAXJfKH+HzAfV
k54hDL/v7q79ATu3gz08wMEQhmdM6e/bO14ioIWiWwr1UAaOqPfvbO+/Cb3+2Rz1QRwJmQ3ZwRDH
mUfB+f9ro3LwqrAtyAhXIGMZwJtXsDzhAFit5Isv6gLJtjeiWKHoXT63xaZZyRSTvCXRzKQVc4e/
2miIoPK3rXzvoijgTOc60CmZv6AyeFHm+uD49pfFVmnr8CRAejoEzkcK4yPN5C18VTPCzaaeIJyv
xxsKYbB5lldjDb8T0V43Ut8KU2y9UF6vgixoZSLVATjzghRBZtUA3NVdGYWyephydWy5hTZKfiyU
uF0tcoSIAtgnqj/xUO3dgeuo0Y6IeOnvVx6gDskfYLt+MHS9ld5YYFMzr9ZaXXlteedLSBaFubns
HcqR3/s1JE59qB2tNw1H3RS/U4A6zS6XxcqhEwvv3lxDhW+sRqQ27BhwVIwdr45ZnfsxrJe+sLVx
M+lbPGGmOZrcAf7GqXWGMOOrCr2rAQnGxpXlVRcsiLFxl2MCi8IoR0837jrnVOQMd8BCR7KT9AFH
4GMjgenPi2GINFLPjWPWNuNFDunXYfWzvlv5BsnJlObYIqJyXlTkjJ0H9zBknBsm4OWlHb23anWJ
VG2C8pUIy0dPTCjyUT8g6QLHvdvZlAdrscsYhYjDNGsSLZLmO+RyGqeRmY6NQQmWlgGkrX32stLJ
iiAsfpX3+EQhlI/8K9h6HBUhj5Kb3PTIHv0jPCcAZITNy/m8L1I9eQe5QkZK5+ILQRGnqBh0PWV1
m1ulG4kJJnh1S1Bjy0PoDnbDk71q9G1Ge1NSD5zWNoGKsoK24/AkC3mNUiNehe9DbM/9XSEtiU8O
ULis015AwmHM3VPTKVx9SI/OTB9abU8o0NR73q93FUCEkbRLOFiXQRkPUhcxpLyBZpogh7Wit4/j
BCXvdQWJxA+vGlE3qaAFqrdl6+4chkOt6Qo044Jx1zTMjQqK/tYgaQLBgitKABiaO3In7TY84IT5
yBAi0JzbG1PVJpm7/IUFFMSNpmYJ9/VnKV0oaAU98uam9DOYyiLpqlDGnsWamAEazRQk36G+ATRk
idHDgUVRWGwsxhHxeOGAB496HamaXRWWGebVzq3Hex/FxjRs6mNhlZ+xoKH5M+5YWW5k5924Vp5R
Vd8qs+ybiRXxjCrM0eEEKlTdgfoQ8Azp9dzDI6RW0wNSji7uPEil5SBBR1VO4CnfeAgIePg0+QuK
6e3O4v1lMVb3lRJXAYyunVlsbAJm1bRulTQnMgZPQ4dqfD/5x5YFYGqX6Kl1fpMINAarad1DmCtZ
JlxRIf3LkYpb1bEdGGDIsvP8tHCQgB11thYaPooGbGB79I8D/GulN6C+wbMaNjxFBzwLP6eztUd2
VtVuqVtfdY27cd3qoUTn3tfj6zJOjx4a32qCBYtlOzPKo/n1AGnGcRoeoeiB24WqpikBqBjrj6Gp
09mCmp2cbfS4aLe3ULrvtLn1dPu0yDHLm3pPhvByQI+0cTv0MQHqCsedUhDUsK06Lg12FrsfUFbp
u3RZxiuj1VVF/U9SdJsO8eCkmtcubxLE7J9cNNwrLi+cboohsroLOIopXp2imfVVGns/uP5OjsuT
3eutb9lb1aATSK0NZdNmsaFtV+hLZsRmWbomsgJsXLNGqO16F2WPts3UoSwJDEPO7h30o2Q13ao8
33ULQbGlhD64KyX8CeXFnGMfzsc7TyjgL1wQL9G6Y2txu/ZuarnDZxuC9Kl2plfMdC9uJoSM3Lpz
i+52hmRXZvnetRBW4vg6MzN7dZYgq2ecELMB1GF5XrxRpq7vxgYhtxbyaMlx69PhYba7LRq8N9pf
HxYLfUlWzdeAcp4sn913+ZzmqtyBK3dR2Mtx6CFiTKsrSN8ejCMQEUHUnv4n1f0t1aUgTv3rSGgL
g0b9LLFCC/7P8dD5vX/EQ+egx4MWl3fWgUMGjaDnz3gIxG/qINm0fcQ4HoBvf2S7wQfQXGG1FFAS
Il5wkSP/me4iM0UcAx8U8lv6/G+ku2912ZHtug5xHMcjnotW/z8RH30996i1ox8ZAF+TwSiiRTW5
lIuTrnJ0vTnqJkhEXliU0zCmFdQy92WnUU0CV2T4SArTTHs2aAJB9KBwQQsGys658Vvu+SfdSP6o
B9s2USmWYNoLgC0cuP5a8ydkhMHWV9rfd7IgD4wt2KWMDO1kKEazt2QJm2Cxnr1gvD0QWUWmWoO2
F85peevaMyAEi1uDONdYqFoT88IXrCYGIcQInd3h1cBMs7EA0xhRkltxmQlZzcEPpxlbtSIj2tVI
zvrcrv+zIn5fEQjK//WK2LUv5ef2l1vsg+oHK+JcTPpH/Qf6ZQQpgOP/Me3/WBH2hwD6sjSAbCLY
Nd9cIf5YEexDQG0UhgDnc7CefJSGvlsRWBIQwcFyYQ5Ayf9OhvBNuOy7BAErgiFrQRaCJRb4gL78
NUEIBeKGAk5rG9uVr0HdFG5kLU771TBI9yUezc/GxmMxDjEQTj36bbRpYMFUL0mgVP9KV09vBgA0
DiMUTZUIZ/hcj5OrWUo8z+zXoix36GKYm5bI9qvTyE+cyaLMRCjPzuCIlxNI+EEjvJdQtotyVL1M
KgN3KU615fP5/j+p7LdU9ozt/tfTdf/5S61l+4OZirf9MVO9D8Boui7zINr7WzXyj4nqf/BDpLAh
ENkEk+T7VNb5YEMtIEQB0YaWGDb+f0xUpLIobyKVpRBHDAjywn9non5TPPhuoiLWJB5SZd9Hfexc
F30zUcmglzKn9grLQScAbGUCuJGdvIAjMwtEDhQAcjXNjhMl6HB47DgSwcN0cNFlyzQmNmBGHES/
thbdZT73gL6pYk66gdmbFm3tnd3ZiOypDrNppdWxZnLnD5V/MqaBM7bSXqrHYkhDq/oyKP9JTPDR
rVteAjiGTKfggiUlLuJgh6CxiLl8qWf0sPIBjurQjc5yBguiyX2cpuUkKKZ6oYC8Kij+kW5ZxhNT
Xmov9v9j77yW4za6NfpEUCGHW2AwkUMORTHeoCiKRA6NDDz9WaB/WhQty6VzLV/YLlEz4GDQ3Tt8
39p06VJwsPLYeIiA2utuHKytnEYtahG0cHMzXWYiFHu7y4qVloeDR9tw8izb7rxShP2qi0S+iiXF
xY6i9auqMwzzTuhTW5L3x7ntNT2d5QnR8q0FKczV9YnOHXW8QLIVP6pVJtCX466tm+MwEUeBYGi8
vpUYwz5rlGiDcLwzYmEcyhwGktMU+bF1Gs0LOlRkVdEf+0LqPcpWSrOr0SYejFjXtnKrIe0cpqEP
TlOZOk99bdkoppxzu84aBqf/Weev69zGKfLv6/zqmY5GmT3/c6Evr3tb6LQkOHA02YZKb9Jh+KEl
Aaua04U/1+2/uhVvR5L9ybYczh2bTUBROK/+Xumq/Ym4Drm/zetoPpnq76x07WNPQl9+O/iEJkEh
0ZNmcqX36vp8dsqSZqu1cYapQ5JhyTepKkVuqCOTfRByWaxySYJvmnm1HOZuK8xQQf9LC1sdpM63
qqqpXSc1PUraazTevoneIpBRzpfyqW7VbahRL+nCp9x+VFIIv0H26DgPqMs2oj9WrYrS0nGdPh2Z
udj6amuutE6sshGhS3NpJMHtaAU7xYg2mtHuo2JmDXedq9rFVti3ckgEqOflySkBWloWa1tHYz9Q
FMtkuO4ICqgHr5MUhTnyHi0IX0JNXs96u8qt4bqPrBXNvJXUpfsyt3zCx4ONOj+MUMEbFWWtcpUq
lIzyLxPq34T0WJ0aNOidW1vWamrPQjXwZNO4VurbyaFQ0KLXMIyC/kQjuVFLsyOVjQRhWWFsJqGK
1dwNByvtr41OPtYtSl9CT1cd84eoDE4gSTm8LT/NviaN9FXRmMhFNX2YUGP36Kn1flvWBAnDaFAO
jx9kXJBOgrq/MBeJ+tc81i+rsuSwd1ZNLPzSCA8IgDy7zUnan6JIP5tnur9ye13l+U6MDlUrJnVr
6VOuj+vSnFeGPMXEH9JNHJSebc2rRBkv9EC9LNE/Uth0zWbaFVgGApnBjXm5TnUnpSIp71CVbgqF
aR0VzXB1rloXOscrATlXnYexThYBA9YKi9oBU5F7vpoUXU4F8Mi0bM+U0OZIDzS6zuMQRgTkHb1C
g2J1z6h9/YlefyzbbhwG5/mQ115p1ZfVOB8Kgu0m+hbIptvRRy7Lmd6zThtCu1bH8JSFma8za0xS
Hwu+0RlKYz1xqKEx1NVmhapy1/T3diNWtZq7PDzuOOmV5DXs1bsgo/RHju2wva9GbTgSRX5NtGgj
UUVNspDmh31ZMVaCo8yng42e9NSaCt6IFBDk/RjrK9m8Y6/fjZ3kSfoDVWWE9NE3o029bFR9Eo9j
YJaUeBgRoDkby5I+U8xbd6ZGalEfqkTxbQN1ZRqi+A09o2pXs4rxt3AH9ZtYRppVlxXzs4dxQp5Z
Uy/lL9nnpv0gU/yaBR0i88awGT64nFLa+FxlByFjDEFmVu34CBxd22D84gy08uNvjDinbjC4CeqH
Orux4o5unulq2iO4f6TbjjsVvdvmX9vQQsGWHRWB6rcytoqtbYR20pxuN6Q9jpjxmBbItFI5v410
ax8lGYoP567WnGNUIvIup+1cT5mrNBNVLoSedUwxtuu+UZDd2Z156sPwcTLmdTX0cKm6Zmf0x1nd
J2Wza6Zx3UfjKZNTzXWkCt15ZCFsyzdEsYg2m2M7zSx29YuVOvs5y3e6lPVu0lO7428xCypEvTCq
xTEdh9IdzHwsEKLqwRl+S/QSaLEk2b5Uyv5/8NM//fvl4Pj3s3L//PLyXP88KuaFb4el9smUdYVH
5Z+Hpf5J5pBSTQ5FU8MkRtb3vcOD741EUiZFIwK2+NH3Dg/RsE7Sx8n22/kb9ZR35relv2NzXNLD
dyhHc2B+6O84vWopZaE32yr0nbZcB4sSr8ab+F8wuiW8/iH8fr2QARtOp4xDy+vDmYwk2mRNNds8
atnzck/t4w01RO/dV/A/gcIPggRneaNfXeiDtY4hlByOkdZsx7ZV3LCqsCdUZceRRayajhWZalNZ
F9ViGFdFeVNqdFFTBxkiHRXDbYHmIe9jzMg0KF6m1s56TITtBUF5EypwSzAnuLWDknQa6skPnPK2
Tl6Zv57GbC4cExtJr3bdXNJrMMMCTTPDgLMZKkTtfFVa04vHfkQ9qtyHssAtouTPsZMY27KC1CxC
YzUn6rlt4gep6INzNIB/GfqVZrdE+337VHTFBuPaBpsa/Wtr1QfKk25nyFjrah/U2qLF/Vq3xvVk
N0xr1JQKuVeOnanN9x1IcIhrIqHBX2l4b7Rq07c6fD4DBfgACJ8KdYiVU6DYN6ddIskt3hGEVwqN
JEnuDqIe7seAaKLJpfPcwgxg5lpFj3ueCaPCjT0R+JhRflZM3TaZu1VHK9yqaH+NloWItunztZHK
Pf1+cYHs+XNiR2fU+/LFKlOdJ9lMoSCYaMKNZoOsEKlg4TjTRrQxguFZI6cYxqWspU9+rhbSl9k+
lkFW+HrfSDdN4eS+E1DFz/Sk9vs2RUk2RocSb5erAK2Az2SEhG6WXaycCM04hoJwKoWXz5IDxMXq
nmoz3As1/qKL/skJ0AsGCsGHVBoNPT2D1rpGE7O2ps1g6V6dINUu52OV9n5et7PXy8bl0PPZc2Es
dXBzaYrmY0p3LNTocJlqG1zkTihbnwOkPcHBlHQkerrHUt3q1sWkyZcGJQ/ZTLxZteg7UNPIok08
ts+NaNdTts91xe+L/KqJxHoYDG6s6qt9ftbriqvlD3MAg4RCexwkfoxU1UG9hflqNUOYkOwIOxCH
Rnth4G91JHUzJ52bNNaqDqzLYGg5sImAMlK4sKOpBkVcr49WZZ6NiOXRFK7SiYohpplSphUwvGBQ
co3uy2QxkhIFdJpkfjUgCSmZDor1qam+OfIjaSAamsAds28zMo+w2Id4WFMed5WEOXU1VJRjbPg0
MF2pRpyJ7LKLB6+dXjTV2Sh4EKc09LtOWrWEAhle6mH6YgD0y9hIhnL2DFOgxbysm9YX6V2aEAE3
sdfkvE/ZeHL92QklN2xPVf+5mIDTpf1eiNOgPZhM8DTj2ypLfZzF7ih/NfSbOLrIsbvgVloMVEun
A08/8pQpxIcYeaMGhmmQt9Ts1hRErqk8M1ga82nee6JUV9Jo7ZVS/axEIcsbkTU3p6qY1FIzd33W
zsek9ZituhlQFKpSdoCGcOTI7j3dmJgQ0hJkh7b9PHXFXittnKvl00xU9+uNUvnRgvy283/fkD8k
SZbtRLJZmXiL3Okx3ra3J7/+bHjRZfbXlvwnPFis9f8eHpw9pj9Jo5fXvEUGyieNqpSGuOJV+aFy
ZL4VzJRPVG7BdtKy4H+W0tdbZKA6CDzMJYtG4mHor5Dqt8quzRsi06CaptmvksDfSaN53ceTlCss
heUleKGpstSQ36fRwZDK2hRUziY25CZ1xzqakCVTpPbjvJRkCCEdzp+gLbVDnslZeGjNNijWqdOc
LJ19vGsx64UsN4OeSnWV6+n1mDjf6rS6mucSsTOJklosi7mr1i0l8MKPHAZqnXeipwUSaYpbGorY
mzQm1iIxqlWqmlsLks0qdOIzu0Xy7ah4UGXiA3cyO5DnUD88GZWDrtsFTjfVj22UgWI8m8QEFlYM
1/KEtSolP4WqOKONt/a1XG1Kx3luK6h9fXhqR47AvJAfrA7YwCyy1dzip8hU5SmR0vvW1K9T0d05
CT6zpOkrDJ4cq1qIcxb08Y3RD9spboAVhuo9xb/PsYR9PGz3sYpobUiMK5QWoYfekr9SmM9yQkZp
DPjCBmFWXg1VZoqyF4S0L5rRRF43qwVO3/CoSag0cKjcN0ryrTD0cC2MDIa9TZVAheGCXGSQvCwn
RlAy88rswq+ghY9JheYa3eO3bOg2TqfudKwV7oR2bW2VU+GNhaIfGnuet8NUP6STWZGekJDjDUn2
U9SrvhjxdkpdSyTCRDuvsJTHlGKv13UhpDWjeCoq/J5lOm5SpQF9Qn+86JN6jdASCq9Oo79oMMdm
sXMTJfX9QEmzyJXSk7Sy+5ITBXOaRPZWLozYk1Bd9itLKqzd0Mc2gsAsj3edaOvatQe9eKFl1Us5
7rU4fRmUuMoPZPfr3kkIVMK+f9bGYVD2eoIJfxWVNpbs11X8ZzuzyTH+fTs7PTZP5U/KgrzobT97
7d3yvSvojannL5vW236m0hpQF0kaXyZz7JYq//eyoE5tGdAHijaUSosC7vt+BiSfbi5IS5UdD9DW
b/Ru/5Hp8HoGAbF10qmSybl+3M0Ge2wtqxzCbUm5OsGAUKTr0HoWjC1+d19+koL89EIkOSqtJoqh
H3lssYrdqI7HENLWyUSCNGTqKoepjzb91xf6GbyJTPD7lfgu3m/QklyO9kiXYJsXaE4zyoNOvomy
fquONi5cZ50FzhV6KtmLU7aXX1/9Y+ePtJEbaug6g1XQklPv/fHqQ2B1+jhxQ0mazvpdeMhO+aO+
mdcyzNbZfbIvmpXlbZCzMKJevShcdV1/zvx05ewQvhr/Ec/8I7/88Nt8OKwYMxWlTsS9sPrpsi3b
LeH3inD0+defevlQP2SXXEajfcQ/sqG8ijLf3/JG0cqgqhbLdVV7TABAgvcffJ0fcTTEZVzBMLQF
oExlwLS0H2/rbDZp3Wt4XxXrq5kqKNQv8z7e1crOVv4Xmv1gvHifLf/XtT58hbGVzmqfcq1S0jaJ
+VWhBK5n0s5wUN3VV7++dT/7ht5/sA/fUJUqs53h9dxOeB9ltFURzn3BSvz1ZX76mUxUIgZ+Cfws
HwoNmp6iBovLcNslLZ9LyO6QVLt2Gg6ToT5OFLL/44I/AynbFDT+vuKHZWjMSj0OVR5upbjZ6BGy
zDTEQqDnX41myffz9NlGY65g54sN6Vozs4M5yJjxrMe4kPeTFni60e8D01yPI9VxuzLzx1/flJ/t
SQaNWW3pwso0/n98qOqIrqWaRqzVoVyFSeyZDBJu629Z9vXXF/oZCpMJDd+v9KGgVM2qpOmmJG3w
+/rS0/jEv11Ekx5MtGsLKM+xQ93lGy+Gdw2M3fJ/ff2Fe/Zxfb6//IddXhII/Xr29C0mMMS05JM4
hSnEJwtBCA/ITHL16yv+/Ov//okdDrD3W0LQdhWyJ+4tulMYJhL/OqjeVyR7u9ZylfP8jpLTneJd
F8/bX1/6Z9+qSZHGoXiHTujjjNyxEKKcIx51HSuMFnoyUl56cySq/f/jTMOHhxRcV0ktlizm/WdU
lSBOrYIrjRTgB4OQNzX8Wi5omET/j2/w/aU+PECp3vDe9KW3ofJFn3SMaOuqOUQ9EsQSFGL+X6Pg
f/bEWCQ/yNtfk7GP21Jd1ynDf8NtE9+G4mBNyrqy7vT2Er8kluf/eFp+dn5Q2EWcCxZJpn36440U
7WhbUsLyKOqLqjqv7N8fP2W/f/8Pdy+E3mtWI++vkPZwr+Ly2ray//gQUOL/ucwcE5cgyauuLJ/k
x49hWEMHZkIw8CAL7GQnGdlIXzJrzGMexM3so1uDS2AtiPkzemkKNJuxhGbj2MldIwREL+HNuk3G
NqqTiUAojmIBUmqmoVMWzTp0nHWkwSeJMUTSdkFxcJJyhMlyszZ1KA+25HWN2Mm1ftAJrOJU8oNq
8ks5W5mF/qLW9W4q4hepbW4U0e4kM96V9tKUcUjUYLkIaSUjWS4KE6CNvLdx+zZwK0J808VYH4w6
foiVTHLzrqJEJh8Wg1Adm2CHxKGLp5VoWx5LY53YeJvBoeTCWnUj40UQtzsg1sBrnWXjwqUwxVak
6lWkZEfhmOuFccCbncw4LHExGRoD26uboHYSSG3jWsH1Hs3dupN1X9OHy0LAJhDdTZJ9kwJtKyYl
Wju1+mDJeojcmFtUDdPNFOEonhxFuHo8PQuGcEn4sYWten1SbVpmVhe9/Y191JMdLjsG85el5TQ3
/WYuTLeMplMhTeuk0l1ptg8NhIDFWJxFsMqQv0x+auvXra21XtPMoJgqPPyBr+QRE4g1t5uMC5LQ
Y6HlXlouoCIZ8Jd52zXjOfsx6TwTx5phq2vt+RSgE8nxtvfdyolxwMc0qWLHH0DJWE0J+MzBkl3s
a6ddh9wHZ8YhglkuRp1iJHzmpcIgzdUuim1B/7PcA7wHczKeqd0tf+4bZXDeQEOxSiYItM1GacKD
KJuLaqkH18MlX8zJUPiZA8vKKI75KNa6RaMUhH9TMAY2GnyUNSeNiTGNCl5HLh9mx/oa9eGqNSpG
j+fpyygmCShH4Mt6uu/K/jC0w2GEKlTFNR1+aVeYAcAYlXq+5jtVssoF8dWEvaAWN0mJ6XmoX7EX
tRxt9Qx+WqTt7JyJ2Ga9kUsJxT4qzdlcxXAIEsc6yZ2J5nvy217aZI32OYhZ1DxBj5KIt1FNKTVV
olNRig2VERzUrKUBYEtN+VqoaDlHHJhawLmfp5AgpNwRoH4Gv511+g2BvSs6Z9wMWntMctPtRbrL
QzQMEr3GBBxZrl4ps+m4Gp1JxiPt53y6Spp5bxTdlyxq1vFs3+WRZLsN0K1Aqc9SecbXre3nLrmp
VHnfZHh7kpp6fr8rG/tzEfdHkQ488XCY7by+zJPgQjipqLA8ix7O1utB+SdnN9nf/z1nP3t+/mfG
vrzkLWNfDMTkxKTeHEcy9t33GTsT8LD76rh6yenfVyDNTxSHdVkml7dk3L+cqG8Zu/npde75Ms0Y
izFa6d/J2O0PpwzaUjCjjJmhmikzTejjyC/8NKrJKpI3YzZm06kWOUO7p142rxJ63QentyFuTLXn
sGktGIKgxx8cp/POKPGpQe6MqrZEFaGyuF2rs6MLGAopHM0p+zojHbsrU6misBlpvhFom3Y0PKOX
pJXpsKhas/LzpDtwbFRuIqm7MqYVEELqA5gAfgB/mFNswER8lSzjKQwrfArWRbwwkpzsM2vGAKuG
UdTqVP26pNXj46yK/XposnXWB8fQjh+SOIEvGFsNjETtWzlClXLGb6oTy0d9nC3P7OpLLWskSDVw
HTxZhAUEn8GrasXwLOEYPmpFaUYDoUzrVq61s6F1RgCgsIqMqeJIaifMp1k5qy4onBKuc7Ee4SQw
I3IhZVkaMg0J50uGZ6ug6zHK/IYintZSJrqtIdC3u3pm9GtzKPelLCVwNTDAWWlrnBcxyL8/6/Qv
dS1r5Ffr9KfSWl7ztlC1T7hAUccpyqtO4N061T9ZOB5MnKKs1R804OhnTdtYVHrIaFWZhsHf65Qf
qWjjqNIhzdHZibXfWaeqrn4MB5njzWpF9Itxw8au82M42MkoSMs55Imx46XiZUumtoO/lL9Uoqem
XeVlFnsjdZNNhKV0202mehqXNmmiWpfF0jjNchLFEIY0HdVSNUCtyZt5abUaS9M1kW0sVksjNlha
shVaMivNr3sR73t6tkGhB0u7HZNXHWJLv6bc3A4YpJSzpbpcJ+q2U8qtFjmeOpc7YRjnVAciNzOs
c10xjrPtnIlYIYLDUeRUTw18FwPs4pgFR0rsjGuz+qPG9OC6KK6K3jkGQ7QNoabQ0qyu8wLMGNow
V+3JFzpHPYSRfDH16rmms+RsFFX9vFHi2VfHFtpmcDbGsd+O0Z06QOtr4deCuDH5pRpLovEa7kvO
UZifnwWzOCwt/JzExS7QzH1tRFvaBX6SS5B09B4N0+SVTKAaTOXclCFhhvVWIm4owcyITPPz4pqF
vrK7ZJ0o1bp0AjTJxTYwpFM15kg9VAkJrhKdT6I5y2zcapbgxE4fda04k2Npa/YLtycWG+T8G6MM
aZ2a2ySav5Qi8KSp6b1IVT5bc0MU0CUzEUB61rKRuWmpbac+3ch2tbJw87GBXRQ46xumL2RJe7Cz
nhgBfIwEVlFSgHLGuq9rybGgZ+9k8qmchl2QEzybhZ8G+ToemRUdloDplGNqa58hmyGTToAQ4WNk
xIhn6XkARw8obNUr6yKzN9UYDKu4LLaaBLUmjzDiS8N8kILJWSlhxwhJpT2EAmpTY+wMISoXecNT
HGd3PDUAHmVhYnlzuE2pAwia8yPug3spFKtShZg5aW0HziUL/D4JdoOTb8N2sT/E7PxKflaK4smZ
U0oeSUh7vT9TAgrB8Xgb9hxOvaH1F8it4x0hPfzyIX3QqwLSndqlawShs6ubo8+i9rIQO6oq8CCb
9ZkpRdFJkodzYYkzmzgOmKW0JYc6F5P9rUjCl7mzD1kibq0KfME03Bo1cxAL4z7BtVsLB16ydGos
niOhXaoN93YYD7zhRu6dg92WZ5laHep0vEQJ9CySeKPwRoxN1Z9bjTVbjzdzK1/lFettKbN5TRgD
MATP1RZtBEs60Hpl389BdS8FzGP4a2jZn0BumeT97wfE8fFb/FOh2fKy72eEQnEHSZisytSD3qME
tE+0Pig2cBgYVMI5Pt7pzOjXGGDW8c5Z7zgxyxHBHEceMEo+MGSs32q+IP/+xxGxIAsoFTCGnX7B
EjS+ryCFTiDsVqT1FlXEGO6KQmKU3oRYOMVWgf4Zn7A4wv6ymQY3F76s9s1GGmfo/dqUeq0xbjIh
ocGAwraVVZB6fWM/xLq4bYqI0eFxgNZL18q1bffjmZmljOewmC1Z9dJdLVDeWskd7mboXRjlOj1C
oRVaLQ696EI2e3DOxXymzuq6ENO9Hc2al1imh5tiBzMKNl+vgh9rTrpTfek7fvFBERts4si25+pl
zopLqxD7KGW0pxKPOq6l9KEN9bWBAMfNCvU0VNEdzM3MG0V8w7wlzRsXMrbUOGfSnMJLDEpXa8S+
cZLrOYtubdTgQzacW7b8pBOurYSSyJ4a6+dpRj1Rt1ZWL67roH4xJkasAqlx2HHh903mXurybaxR
cGZemYyd3Ez9UNiXRqWcgdxherZVwXLv+BBABdJOuS8m7FSMPgN9Ay8+Cvu5XpJ4jVhzEUs1Yzk+
aLJm+log7YdFUzVajvCDRWeFLSP3jUV71Y+K7KuRFXyZ9AnKzSLTigfcMFKtZwyF6x+sqjzmi5gr
UFpnHS4CL3uRehV615KYIv9K1Tl3pTw8m0rpUlbLi1YF+W809PHHHsLCqJF3h6a8T1GWzTlNHpRm
tkLm2aE9qzlmQRRQE1HxibmycCg3IFWbzOk+VLpDm8yTy1G619DR+Sr6NquJTorlAD1epG+DWkAw
XeRws40wTjebxp3Z2bsU83HupHtDJocVi6LOVINTNAzrOtLu+1S7Hhda9VJesXrfwjsN5rWO+0Pb
x5V6byndCDpzuUl/wuXXcHmpof/7bngF9PdnrsnlVW+b4SKgwU1m05nU6fUuk0K/96I1BWeIRQ/Y
YNt7txviQ3EQ66LHsTRqs1S6/46Y+ZG22I5t3I6LaBdB7m/0oonaP26Hi7aGTh/9GCJwZD4/bodz
ZbPkRelsCrt/aqemcm2pumnSoF+xd4KQnZOh0n2Uu1G5D51ek+6Y5IxkDZ2DYs7AvxflQ6kMJIEu
XHWjXHDCEu4NifnuOaYWwuvPGQhKt9NbDu4ImD6DcEPPgrFSwvPcy3I4gWKnKZIm6lnXFxdxEH8G
8w2hr66yTRUaua8KEblKGX/LC+aMGyMy+qbtvymlYu3JycO1apVXsQO/cqam6iZhi/6FvoAKzg6G
xszYJ/B/6KOfKhm4YxdWMkUx66osnDNbTr6MsSYgpldfp6hACFRmkCy71AbeMJ5PssF2p97pZjWs
u4zAbgjAeg4K3C5Fbc7Lxc8cSegHDWhSFdlwsghDRHxXWMFVPEu7IbfvSr15VrvGwSsjf0YTfNuP
wVmgJIdOBBeJbF4Per7TYoaX1DZwSS1JT0rP1K4oTFexBazXDh3ZbWoByFtq7maNqnBYgzuRmurQ
d9nKAMhdcyD6naYehaGfU7wewXhVn/tc+ZKL9Klr7FXXGOCnAzb9ukHbSa2433RKVfgB/UOkw6HC
HIOYVr7UnLFrXiDB2UOgKoB+inPJKQq3SSJ1LbCL5K6CEiZcTdoYlGsll9R1wyhXt0Z1yTsFEnMy
G7E2Q3RQttGGf4pphPPABhaR/b/vOsfH4rH9WUFtednbtvMf+AIyYyKwv8OzNwnMK6xPxwVr/1U4
+77rWJ9UmR2H8IwGI/U463d2nddN5V1zlAydViF2PSQjlPvYy37cdJZTEVFpZmyqpE/nfQiMT/aF
BNn1ajbHrmWAZZ7Kj30TzJAM5j4bFb+TgeV6vW4U45Zme+ZbQXyYcWemmLXUFftH68J/YsysmLru
2CYqpFfLoAGOUEj50oMbegmFHmxnfV66Q6jqL2Mx7drSZhpII2lfGHDRkh+hIbuahrzr7/4ckn89
rihDfvW41mS2PJmvvMrvTMpFT/L2tCqfTLwly+PAYfSX9/r7IWlA4FgygL/YYzzjb0+r84mp8pjX
HLwcyxHKU/RW/uX8xP0JCZJXLuYU53ceV/V1HOO753WRwqAuAoHHg68gXPjwvGaWGZYgepCnmKEg
22e2UAEh3J5BMYbFQP1H18bHHEUnk0QXmSB+QhSDBKwGJK3Oku6DCZchbs6BnoeSX4bss24JrdJT
TAX3cyUh1pAnUFfOyiis51yfl3mIEgnFHH3phQYnT2tggA5y0Z6msI6votC2bqxKHcGjTqah4vgI
pduUY1kY4pQMqjeFYl2Wyfni4cr63tpMUIOBPgLAlhgREBbXLILYi9rcn3uSDDW4MdP0UGbOSi5R
Lqa4AZIiB7g8XwwxunUdvmOqdasqpytEID0T2nYElFFxaQANW4WWqvH5HZpiCVNpokGvV3ILOb1j
2E3SlOFZmsTp0aTlh9Myy69Va0zcKghyqsDyrkptxhMVxV6S7Ju6kR7DgrpGoIx7ubaOk83cmqo7
0zC1po38oAGtKq12JTcK8TDgI6xK19Fg3+oVBQnqCGMo479r05tsyF/KNlirnX0x2M4NJcBbvUkP
vT6cqOefpKi7D3PAifIARwr5QjTl2hbqcA0qLVLIpARIqfhBBeWQdfG6jNItUcWtEtuHyJyqtUpY
jqn42AoSMWNu90QPjl+kqFOxIgi+A8Z69F/MREz0KKueuTV2BkhssnyzZnpGoI031kxNpRP7GLo8
zLd9TEVLzo3Ws4r6xkmixy6c/bKijKSMYL4QQOBCT0rjiuFM1NTN3Os1+4w2xdooVAwcI0Wy9JYB
OL6WjscIelcFzlSP4cq3mcnYcCEd9KLFJxrHaFHOaAoq1cKICuKbueHqh2SZuMWZjmWmlpJa8tMc
yFukSVdKq2yaXN+qJpYaqoCGOtzSd4adH923INIA+AIhiA5tI7s5qHMXmwkY4oAZ8rH1UsT1meiX
HKWzb+SJh6/tLlTHuZpq52Ky06+mSZaiK/N2VmAi0J5b7ri+MuxsFzgOrOfwS8RkHDuTt2mcHVH4
Wm5gNKdBc9YQtu90y7lX56H2qhhvhGlvZ0ZFEUNuAzv8UmYGWNL60MftJR7FyM1tk2dqZHxRekFK
2fJt6GfmMDMCh+bgOOqHxErXgQqoQLP1BZBXeL2Tn8y2tGAJwoHuq8UYrVwOJWQsTcyPbaIRBtct
X8+fvsT/Qh70Kb88Q9r4Z2cIr3o7Q+RPtAApKbHbLz7FRR31doYseBrDBLwFlXXhV747Q4hrTM1S
aeshkaXGxBu+nSEmZ8hCLn7rO/5WovUqRHl3hBDyoEWmOcHpxkFHK/HHkKdBT1EWqjIwimjCXh7W
kV8qWcjgK6Pvrzuny+/ltKxUryr1QHiCOsGNZg/jiewMvOCMdZY21zGMcbpRn+12cW85/HmX4ilW
DeiEVZ3bWyaL+LUKfM9qLgBRHkkvMTFraGLYt9s0FMemm9rxW4AWuvocpRLjLjKHyU2vvbr5RGsF
OUNSFYDTQzsrz60qFeNLkLdptM+1iT0UsH9g3FaG/Nfk+z8lVZuc+t+f7Yvm6bnMHv8ZIC0v+/5w
Q5/n6VQNFSOJuTAw3h5uYifYStDjQazy33dIm6VUoNsK0bz+F8WM5/7t4V4ifd6QooNOe11Hsfc7
VYSPXleebgv2N9J5Wn/oTxekxvuiamYGqlwBlmf6Qz6158qoqeG6UrKHcoEl5cqyeyaGdoEFHc5B
MEC6rOKcQQ4gWe6tPOheRinpbDitdZDBkW7jAZWWI3pCFz3MmLHgcGRiCu2rbZNTzPSLUTuZzHYL
11Cr8OINmR2anl0EyabRi+5ZDJWUbuvauLS7MvdHQgYXyRuH1ERT3AaAGQfitpYi04vG5NrUxn0j
MQ1Lx2xE+GOfIYR6nhzwmNKsP8XQpuFZwgVocgw7WP5JcmsaPKUzbdNKvRWW5OdacAqSkV63gQs/
v0V7A0JKBmyjDMNVEUcPUzXRxpvuE81KcPNNjBNjkgBevrREnVvWTKrSL7pp8d2IbdlCsEWkd6n+
H3tnthy3sWzRL8IJzMNrT+huTuIoUS8ISqIxzzO+/i7I55hNEG6EpNcbtiPkoM1EVmVlVWXt3NsN
78242eRmK14PevyjivsLCHseVT2AsEDSdpLeoICT223n85n5c5wJX6Te+lLCs/ypZXc3UrFdNaYy
bDMU3dYKp1yKFe7RKeXbktf+EIoFuBL7DYd441bRnRvZNzkwCdQLTP8vCBu9vacLzkVWpNrO64dw
qxT6i1hl+zaox/SSAD8TYPTsDdhWqRt5a8ML5JUQ1Qeymq31sNQGDdqKERJIstxu9KGId54GHWrv
xjv6pa4q072CZPdSDZwHMyz/6nwKLWZw76AZtPFGjMGosdWFo8QbG7aVat4uQ9Ao9ehNUsOdL8jr
1KwOEN3aTa881JL+xWAUQn5/20YQIbEr97H36BbDTYfuUCHQwdyiplkj/aw2EXTgMCzw1rojme/z
rL8Nc/QYMrJgZPywcmCMYal8bnhYGjFWVFbsHsjHykqyqyyNvwJb+8T5caf4cEFG7eMgNru89HRO
XNWmkTVunaKAkERmh8NgFyFVqywKbLSCko2RlrusoqFMFp9VM7ABFG77WPg89HkiH/7/JvrzJjpS
Mf57pr3yX2Jf2Lz8eP2YbMf/8y3ZUpblTDDCjPnT5CQxVkmpyWp/44rebqMayAg6ULiM0vdIReHk
Nqr9R6IBAAJrHr9EfvxLJ4kJ1lrjTQltWdOASB6qSXW89Z6mWr+13D7y9dy24I1Oh8s2SB/rML82
hvDuZHRm+odo9+B3vR1akOKg0Ez65LWOo+1Yvn5vC03Ttm4lr7SLHMIZk82FxsKs3LomjfBt/SrG
vrWWCukC/ONzGnqfh4aY5jbtb5w0fY6T6JGjF8eJRtqqlUNvop4a28jVrmWNp35HT9axr+0HX7kN
W/OBuuVd6xvPtFzXq27kRYaCjP4EmtpJyRR6FCU6DryzoY1XXZpGfNnp4Q9f464sODChDCkUJDH1
3sAR2mMeN3eZ7qvUf2jNlAf1QiiVV6WClUUui1s3g4BS1BDkySJ9U3ays0ojt+DVT+dNqJQ+l4Zs
Z+jaxRy3Vq4IP5rryI96rNEUqD51lfXsVP69MKD3FnYIsVmtuymVGGL/MPvepf5XV8t7cgHdmE5X
HFMFAVkR5cgYBIlGWyTXx3idJdw0aXvM3PYm17JHMda/Aj9VVq2Hwl6U+i/k+KvEFB80KfqGVOaT
6Yf3zoDsWu+gVOjBG63oje1UFsyfSnpXdOKR7TZauREMczRN2kqOikqUmRWwZuEmL9JvtPVYK1Xm
luUXxU0qIa5ZjdX2kM9UIutGFrqryFE/iWZ30WfpbaHle6nSIK1R/KPcIXbokUmVKla3MAjAAJQ2
CAqFzb4y6k8y98y1zODIWgJ0Wr9PDAUi7zi0U885mBZd/7AgfC6k+r5TTTSDnCehpCstHKyjlF/D
d4WsMqgJ91ZMy6s+Mb7QlHdUtepzKlLPV0JvVxVJs2nAcpugNdW6vqvLuF4Phv/oOe3OdLQvQJnR
GixFuH+8AW4gub5v2uTBkMsXV4VQQNbcp8JUD5EMLq8ehqPQusAxoh0yYS+Zpx7aQn4sYvdJZSO3
laCD1aLvgbbpurL1DQ+wLHVSpHNApQoV5D2dLFy2I/d6EHRmdOXrIkJ7IZtEXYv3QtUDWE4NKNL1
OP9Godxbm31Y7Joq1a6aMnmxlFpZ5Y5+KRbAhOI4pdlYLtA2DZHKTlR3r9SGctGXKc8zcY/qqHUb
yNBh+2KvXOa6rwSbXBsgcEJ+u97IpeFvzIiXREeodfhB9PhLqWt3QsEuX3vpq4dyoSqF/S7tdOBK
dZQdvQj+Pp6Wr0shoKRjFLD8tNrXvhj5B6w0fu6aAvQzCM3PvpTaxoDY5Pg6oWYV6qtgMAx3axRD
A2mCBrl6pVhxcIWyNyzbdIO432SpKOQ76LSjYwA2O3swGkgLk8bRw/s+NILoSqblGvIgVY71Z5pJ
qq9pOJTrbhgASgbgkgGgKJBbBBnKbkOeGmgjWlDYK5AENjLHiFSvgZsHPiB9uThqRQs3hARssOC2
0iDkmtQadInuTpAVyLUpMcmt3NmeX8obXeLmTq/z58ATuC/VCJLnkfEIb3m+DjzKC0mYCRuw1vdt
S0lK9vPN/+/If9eG2VLO7MhpUqQzu/H4FPq2G9Nwb47tnfJPjth/Lj7yf7iac6sHFvL3D/5XF9b+
Y4rc3MEh8kTKBsbW/r9rjzqWjMWxlvtzi/61uvC4+73tjho7sUinjqGN1oEYT4WqJEQk1IBgsRWE
kCHWh2LPWJEfAN2BZ7vvtcsi5d73z/DMbMnj5n7O5AS8EtcIXgxO2doBGjS1TldBm1zQ/msHlmBT
9Pwb5fSvbZmzHvLswzhD8ARZ4vv9X9IsQWfnb+20C76loatSE6jMNSlol5bCres6dl6KdyED9PeC
+FfLH085jC2kwgqNy6iISJNyiZZ3icnO2doZ4pBBke2HAThFWLQ3cmEQUecGlXj4OKgntsafnyhH
CXLcVLLPPHpm/FIHzT5Js0/nTRC/Z02MPz8x4QcBl1AFd0S9U9kjqP4rorsdLO/ivKEZX2Dp0Gn4
5akC2suJIZ7THUGugpZLBcVa1UezNROC7XkjP8VWJmE4RoOiSkC10PCaxAXMT+GQGk5jezD7xSqX
aS28aRphFUkgL6XXsr9wBEDqw95CyLtic3ZosUUbayV2yUWTfFOlhYXxMyDOfRK1jtMRhqq2lF3F
be1alNdR8CXqL8zunrJ33PZbAPlfx3OC4bbJ2o+khwAhZM62S63o0rj+PnzF2MiAdt3YojgZfuRf
kjhLjYYjA3SVwZNsfmnpc/F9qhYXYB3R1kR59IcW04GL4PrQ12suiBupMo9V+L1N0nWu7s9P1kzK
IBbePmnS6JeB1nAoADV2Qlu1hCKzi8Sq0FN4NF5KS/kbCfSv63ZU/Dk7ApPrSYTyoCCDE7HLkb4s
AaKf/GWARk5GIQzXWRFT5EllRUq9BEirs5WODQCV+5IZ12ZwDKofZRdt3RS8RHKI8hB993J9fkim
fAVj5uZFD64ATQQqPqLO3wVL6kLkQkGhsYOuRmZQsy1FWPco9jR9vze1hE66aKvBQ4qA6HnTM+sT
kh2LhMaLBs+Wk5XD03QjsJ/Utt5be1fmka7QHv7MxGQlhLJacNnRa7sHQQ6/E5Ufp69/OaGNxNrE
Oc06ogVl4PsRHFzI2yIp7m3FeUmLRxTRAdvvftWRcXLg9WX3R+bg5+30JGlmUl97phf2dqUJa116
VZqFC+7HpYEBHonZZCRAp9okDCJRUAJY1no7ZtW5IYwVf5lDsh7KRzByq/POfNzQKMWOeAeOC/Dg
T50pGk0fZYArW20NbgsvuU4yjB64CywYkmct6UC6qMSCLpvyi7M7QEHqGJWtXyUH86h81zb+zeZC
PwK/vnJX3o2z9+5BDG7FjXwhHN2D+2BemNfn3R0T3ftEiLsnHzF+5MncIUoIkAM5H7vXlOsKIlnJ
r9AqJ/X8uh1Aa0DkIP+m+DxJNxDEUawJtMrOzL3fcn2IH0O0mc4bmYkT89TI5NTVVEHmFYZa2X7x
mtDajrrIRlajHf1K64ZLx29Yg3QLlDRMnco0RQAl5B4eiZWtkB0QcJZ2rbuFJUFNN+cNfcxFKrwp
b4bk93PUaY3f5eJQ2Q6KfBlPofQRLIzcXBicmpissDTM6bSWMSEh/Tf2r3nZp6hf2OHG4Z/G2qmR
0c+TWFP7Qa5Qba7sopcPMUq3UV9c8hq2KerqMQiDQyQGt+eHbsmvyT6fou/qiz5zJMavjbNzgpR3
6pvzNmaj7mR6Jkuo1opcL0zcyqxHU4XzkdeRK3aM+PN5O0u+TJZQhMSmm43xVhefhO7O15Ciy7yF
oJ5LSqdzNFlC8O3LujM6o8U+qtUQczvqZRVlB2swF0wtjdukaOm54uDUNaZksPeST+NSRju62a7h
Id/65cLozRw8WUWkHkC0vOsCUnoffQbdAPSgMnwFzOy8sYoAaG11layC1WPEnWzVy9tsKcnPzhk7
I4cY+iU+HPOhStU94DmVPYTaA0ps21wOYbD8L9zgX09zS2YmIRhDWENjhlzZhvojjIqdkr3S7r6Q
hpaMTAbQT7xCySuMIPm3MhAcV5Dh7sMFKx+vsuM0vY3YJABbCrIQU2EFquoIwdXqghgXL2Uo3gE0
9fZvrKkTa9MYTGt4Alqs+TijGA+IBK8Mz93+kRWDB+PTxNdZBDqI7MoujXhNR+CqjuE/l7oFM7P5
9c2ZsdXn1EzUFWkbOTgTPkn+Nu9vu73znKBwi/rxeYeWLE12JIj6xcCzcIiehXXFiyyKdfSGr9L2
IDjiWiqV/XmDs7E3brIUi8CHTS8CPLA4SkIXCIX+fl3CzatHz4mQLMTerFsnViYbFLNjhXC/I3HP
S2t6kX0aOJhJvEvsPGMh+Y2/6sNeeGJqdPhkL4RqOXaGBId8rQVD9Rpk/YIzS0M2yQk5chcUjXHG
7KCUKO8DFOyGeiHkloxMcoI7GHFcUZy3m+Ayhc7IsO4bfYmga8nIOG0nY1UZQWDl9OfCpMwblamv
pKHYJf5CiC3NyDQVIG+W9B6u+DJSF7W/Ueno/KMonpLgJLWse1aCCXSm1kLC284gbSy3Wkhqsyn0
LbZ+omRPxsulBh5JAbGlOfUuAv0fqw9C/SMNEXzN16GD3mq0cM6aPTacmJwkBM8U60bvmaIGwIQL
QzHg1a7wV9CkLyyc+WDgkXbkoYAyYpLkdNflOpVjKVUvqvYSKh+IGH5nmt5MTJyp4WTJvYyDScMr
SSoAcb2skJr4MyPK+6DWU7UuDAEjhfQKE27r6OshixeMjMvvY5bhTiRL1iiTM4np3EuzLA36CrjP
ZZWhDGx9VmB+FHrYvF/O+zO/fP4xNd3j4iHLwrLpCLqqXenOV939NaIqakEcDChx/9eX6e7WKHEv
sMFx/IUgyemanVsp66LQn877MR/Jb2amk191AJ5i5qVyHkOJpzwEdeL7IW9/Jz2POnj8Q5PF2G92
mtT6ZKhzMWJq1IzGSmRvqQHJ4ZfzzswUgBm0EyuTAHDcYEihquLqiJj0Po/qb0ILQjHr9YOuUUCv
4ZvqwCkP7YMrpN5KiYZnuTBfy6q4qIAG0xyVHqsItROxzLPd+a+bXcpvHzdNhwUNvYGkMKOx+NVs
bstyr8TfzpuYnU0E5BDUUEBiTJ9+QpH2XF9vKtsL7qBzDodrXmZ9aXveymzsn1gZv+Ik4faBoztF
iSNNkSEo2K6QE1xYyWM4fFjJJyYmG23n1YlQjY6Y/gFdqXVVR7skpYcf0IJRbGOgFX/m0yQ+B0+U
nCKpOLMqD/BjIoKU/k4mP3FpEps0eNOTN7qUAxeIzU+11dODuHA5n40xC/5VaA95CZzuhWXlGYIg
6hTZuq9VAOYeYrRfL7FypXwzMckYBWzbOU1UJFnYxJoMaQiz2Urwdf7GhIB+phmeujTNX++DLESN
yqU7tbJd6SvJcNWqSxMCPfJMkL2ZmDKh+qZRhGWMCdrNke/IvsfX4ra/Li69Q3tt2hCqfRHuoxt9
I99AW1Fehofy+xBvUcq6NeHO3RythaGd3b9OPmiy2YddF/d6xQel2auaRCtNuCiABQX+PSxQC+M7
nytPjE3msQHWUIU+xgpIN9bG5/g1XBs2Mmnr4dpYw2n3AljjWjtE4UIeHGfuw9oeW/nAxUN5bUzW
tpYGiu7l3Kacr4KwpjCBIOL2SMcH7AS/E0NvliaLOjD6ShYyyhG0/j7kRvzdKvXH8ybmp+zNxCRM
DTHvYZag0AvkB+TtNlAgr6v3rqbaWaYtzNn86v7H2IjEPk28Joz+YtxjzCycO6FObgylPHqNuZAL
l8xMwlBGQI8aDsPG0XCVFXYGQ1Hj/LdN9teKOG9hMO086POOLVbHGYgmrtENuFRDhV6uOH86P0NL
3oy72cluhd6zkmnNOEOosYVAaLzuEOpL59vZPfHEm/ErTqx4fpa2ooCVSNVXovGCxNGfuTHZdDVP
8xF2Y9XASbbSgmdaVeE0/H7eyJIXk6WpD2ETgJPiNAjlWhWjr7Dw/jKCVM8t/rFj4HSctKCPhpb+
MVu4QCQVGZ7um3cT2tI+2QwX/OvBTuWVZSOOwWGsWpWafd7DpWiYrFdiu6Fdgdj2kBssquRYqig/
tn8Y3D8bE07CIaV3r8sUNkkIskLxaKSAph//yJMprbJSBCpigQREgza0q8AsKoKpWHJkDKszyRqM
8Lv56sBRenLGfCXdRRhuq4yBo5N54bIz+zg4Shj8d08YeXZOw2JoB01vPczkW/+63EOltervxGv/
SX4Ci7mT/zKfnctRokhYKbb3omz7/f5eW+vf6wWgykJ8jkIMpx/SGhWaidHoL0Km8OPAhpKotFZA
etJIV5r4JC8BIRbWnDVZ2F3tya7jE5E+jKQ+up1G93cH079m2jmfFIg+aJ6HkFJSJ7mpDS0pVXN8
EuG44M971bnx00v4N1Z6eGuCMDbSheCc2xZPTU6cGhQ6Weqfy5znu24TiBvKZEAl46X5WjI0yViW
0QBskfCto3jZQBXUxPBtGJG6knX/ytKThSPa3Jnx1LFJ/grQkRGbMT7E2+ASGt0k21TIv4nroN2f
X99Lnk0yVRhWqhC6pBDPPDT07yb7AO02HSjp5ryhuZR44pI2OVWUrai5gkkAhmIOKgoFtcKxgL7U
za8pN/wsaZwampwrQFPEMO8ydm2qrv1CWDdaeZ+xj3m+wxl0iZN9YQCnMIo8LGFmG5/H0TJi/1/1
P2oE6Qok7oqFc9lckjx1bJI0giGmuuAzVbF8KwADljQfhrtoY9XP56dqZJX9kI5PLU3WVdnmsSyE
WAIpD/D4If9L2iA0tSn3qh0fH5J79yp7GbbKMdtTYPGv1LVwk3xKH7OL8LK+TO+jxwIart8KII2O
FEAA3HAnyZtedE9Jx+eRhDov55SNPJIK0JRx3vm5RElJ4x8zk1HOXTmKcxEzvGFtZZAHZd4smJgP
mTcTk0xpVDr3Z2i8baW/NrnnpRsjQHcXGsXdeV/mU/Kbock8VmGVdD580nbQVChUJdEdTayHIh72
WeBCtOZ/kcpgT1P45z+zOw7AybkE7H0agM9kCQ77xN/ywECFnLODdimulmo4szfM0wmb5MpMbP5b
/0+33cH4XD0oG3WbG1tY4IRb4Zila+dO+WTcmOt+wc2lUJnkTk/PIrMpcFOLeeWuqqs0jhaOLPNZ
858Z/KnzcTKSg9KzD4wbgYWAJrhqBfrzFmp4oV8KyiVLk7Qpu4Hje+4YlIhGVsJzkNCBo/gLEblk
ZXLQQ5olkywBK2YK7yCl+cBBUt1cSGBLViapQnSEPtZLRs0LvlbdX7L3aHlLsKj5LdqSNI3qBj3J
k/FygsTqNY3JT7471jXEpBw9xGgN6UGvLiT+JVOTQavyIncHB1NxM76n/4gl/Rh0/UEBQJ16+gqS
//Pr92fH8vQ8jubhP85NBrA0uVZIEharnfwivmYP2c67Gduc1voXFcLekEaclfd63ur8cnozOsm8
/jBEDvhNdlLBWSNTtGm0pSf2MfGc82sMnJPl1JipWDKdI6roQK9aCX034kcK+dc+78tsBMLoSQUT
cB78Oe8N1QIdbNn4oNaHDhyZV2XQwAf3O2+4sLv/z8r0TJW7ahcLBVbc4ntjPvTC0amXrtKzwScB
ETAgkgKPNw7pyZCFjllZkCOzlg7pk7qWH7N9aieb+CuHq629rS91b9s9lvQeHn5nCN8MT/J6UxW5
bMEOinBvva+F4SAP9bWZDAu5Yjbq3vybovkHAba7uh0PwAXSu6nyLfSNl/OezCCuQVec2Jgs4KIc
ojJRcSVGqjpaOccOftVgZXlcLYdy5S+V1mbD/MTeZPl6dTYWWLAnldoqkXkSL74OkAR1aPRW0bfz
3s0bs1RIrEBTAld+HyB+aUGSh6iInfSfSvMiLuuVE35r3C/Z4Cwkwqla7t9ne8RW6dAfCa5GZsjT
YKzSpg7EcZMqdtVBukzX3X6w642yTW/q/Xm3ZroZmLQ3W9PiSgODuNP62JL1lbL5uqNBHpbuZF9u
qqdrIBOr/CZ6VJ5/FMHqvOXZ3DE2WFO0liBmmaw40wrhAcg68mD7OKq6OiiXwM60UIKYjXuw2OMD
NsenKdBW6zxP0i2eSstYvmlg/jbFZKGBataRExOTsE/CYijBI3I+6uBcQoudlltRvkKtcCFJLRma
xHvrIAuDcg5F3krd9FkNMzu0TAv3yvGw/GHvQJ0KtDzvyxCRvI+9OBOztqcX1taUvyJIu2qRXjAk
uAfH2JwPAGnWH7rqWFAj3+AUVZko6VBXQos/g+bBn5AmduPCPymgvFPQD8ZbRh9QetA+aYX6KTTF
F0FKgEE6xt4tJFuuVXbnFkjc+e+aDZl/PksRp1d4txIDs+KzCihHPO+qointvIXZXKLRvsVGQ3/I
tIELKarahFCYC0vuPseddjcYlrcrnWbbidlXabCEhU1m/qRzYnFyRZKRCa1M+lpt026PF9aX4qbb
d3s46W9gAdlUV4gGn3dxfm7fXJys7i5FgTGxSlw0q21ifUqpgaM5cN7I/EwZnAzQbRlVYN7Hau50
Wd6PsA7R4eDbGsM2Np2Fet9skR3sICsCUilZnYKG4BjLnXQoxmSsfO82kOGvy1c4ZJ71jXioN+Ku
Wlfw+D1aB3rVF3aCWQdPbE9SS+kmZpToOQV+55tVySsNwffzQzi73E8sTIYwkdvQ9DS8S6S/4kSF
Up8LCyRxcvU7iRg+IjR2GE34Fd/PlVYFnePkGBKSL533UNS/88atvBmYgoj8WAyNApoV29GezeE6
MBaKlbMRTScwf0OeCiTkvQNNi1RgUaQcqslMYvikxsC+f711jN0YUn0RUid6r8TJOi1QT1P9oB53
43Rr9jzqIN5xfsY/xtQIZqClmsYhE/7pyY2urWHvVSqSjzBYD0z+BbpFC0P1Mb9hgq4khe5sZmS6
6RZBZcSBxFxHFYhb9sPUhamheayQqBta+zf8Ia5gpuLgBHfW+3npat0h3Jh3n8eurqzXtVT98iLB
nzcTU/7shk44IwtYhiPdbOh+Ebq/SsPcStXTeVc+Lsb3diZTIydOj4I84+Ypr6nVAJT/UkOuLVFJ
/jNDk7wi0cabpuMEIem5jrtDXbYrSX2GTOK8nY9r5r1DYyye3Kp8zS2oUTBwkgllXfdk4k1j/nrN
/b2V8StOrAhyI0LXQQSgr+gWn8LkpomWNtBxRN4fi97bmKx+XTNLtwxYNWnXXORgwQrrBWqbVQhN
qOAcoyC5pZX6ckjRh3Da8sXUvYfzY4mc2cwnaLAOjb2McOVOoqNt0rZO+pCjrJfdGn19D8XlthH6
2wyNyjjI1y6c6IKb2XUCRW1UpnukAO7Of8TchMIQjTzUeGxhuU2GWukVoYo46wrmt0F9yWRhJSoL
Y71kY5ID1aI1pETiBFrIDfov/p3oGheG6y8s6jH2pjN66spkRqWuzoK+5DRdDCNr77Au+i/nB2su
DdKaiRCKJtG1OE2DcYcOj+g3ZKYyvXaJHcNVrzIxOEJcEa7Kvl/Aq816dGJvsqoHTZYTRE54xObF
rokPUvh63qGPRRJTMyzagXU6oejHnKTaIa+10PDZnQaVBBUXX/LG/FZrNQ0cfv7kKcF3pzYWomF+
EP+xOc29SFQPnSzhVIXQRdi2ycpq4PTJpH1bdRdxoD6e93FuEGEUGe/gOl2800uJGWTlkHjYC+Xm
QnIgYjay5/Mm5gIcPiN6dxW6UfTpQvZhWYo6n+xr5LdqeC3212q3sJPMenFiYhIKxRAEfi+SeEN3
sAcrPuT50uvHXDAAwGWYOEtIEJ6+TwWZBkmu1RAMcRNdSX3ooWJjIhMarfOieEZCzlZ89/b8yE2V
LJgVUzsxOj3kFVnoKN6Y6rNNvRW3hrpOdrmNHO8mt0tbRlH2s7v1NsUFaMrtS3+pbOV9dhvfJMcG
ldhVcozv68/o5iwE6dzGffpZk9Qsmp6DGB1BAzvy2skpDXkXdJ3QALDUDvazUDdNW/B90nYN3o8r
zyRtdX3mxYXMMbRdi1t1G9ErevS/xlfulbGutoqdHrR1tNcvwpvkKrhqnXW6UDGaDS2ZujiQaCjq
prDoIehcv3X4gFC5qmJv5QAuOj/LP3WpP/h4YmKyA3SlKSd6Mkbvqjkom9JGVSjKt+Yn5xJm2p2+
h9Crcg/mtWeftzy7Mk8MTwa30VSEniJ866h86P73SjpIXbQ5b2Q2WE6MjAvr5LgySKESaF1ChcU5
xsZ1mUCuXQwIJC01kM7UEVkt1EdG/tdRTn1yuUNfU4wFCPNso2vcVVzw/ir0o3BK2kPIKX9TOoQF
DWWDpO4NUlp05KVLPcHzI4oQxHg0h+BpsjKSIIDPR4k5tNAhUGi2BE+64f04P6JLRibZrkvhXB0g
krcDHTZ4y1q1vJmnylKj+/zEvfkyGU6l09PUajHTp5+sTlt1RrzlvYoWqSUMxPwae7M0/vwkRGg3
Tr1AjRi1/LUqob77fH7Aln7/OKAnv5/1i2J1gydt4u8MJX/ICxgM/8zGZBFXWtoKncvMF02KJrMJ
/CuCJ/K8kdkpgSET/m44vunMfu+I3FO/LlB4RH7sXsmly66E6i5+LItwIcPPjtiboSm8PfElN7Vy
Dt9yrduWqVzphrpgYsGXKRGXKRRSkjSYaCrYsIobCcnMarBTq1u4ni8ZmiwXNTK4NdQYapPXJm+2
adLbadLYpvY7tQaOOP+bnimYRVMRfXFSYqCr66NfwLFbqb8TyicmJksF8U7fCNEktwXhGNY3ovBw
PsJQvfl4Tzj1YbJWPA1MuJpiwPwq3Dt2v20eYgSvNvotGWBTrsJH+eBett+1W82+RCR0w616p70O
j8LG3Zz/lqUgnCwp2iTpmff4lCq9qlzueEr5hxYmG6BhxEPRD6ynIXsO+h8Jx+3zLsymamo1rFdE
hGlYeL9gAy/LYKNlSyqGazn9VltXbd39oY3JBiv5bivXfkZZuHkRhtcAKrDUWLAxv4be/JgknrYu
3IRGt/EV/9rNLkPnRmi3gbRQNF0YrWmPghxYZSO0eOKiXAEu5pDo8VFpvXTBmyU7k106Hujp6BVm
JcmelRhxr+xHbtULxez5hfTPkJny+6mvJL+G1o5T3eAcmxy2MHcTx3dhdOmU4YKp2dlRIak3JSha
eVycmKpk1xBq9k83OPTBVZM0Wy/40cP0eT6aZ2syJgw+IIEJ5g8UWb6jtEI21mQCQb1K/TRfmb6M
TK6fCisf8NtKDevrVlS3VHW2mew8tgJ88a42LJ31Zj2mXsxf40PFFInhtn1UDSIfklgvZnQt+1/V
cq8Pd+f9nU1Ab1amSAwUAgxTgwzZ1iVxVVkcxtWFGsaCH9okEv1Cg6TYJwEVypPUfdHLJ72ke6yP
duc9mY14xgoRcybvAy1YIGZFbQkCrNcFUqSauDW7XSgaC49Hs+N1YmX8+ck5S69jvShcl+NJkm1L
k/c2uf1DE5NQLwcNEE5pwRI6vprS2+dBCnF+rGZv+idejHN24kVfmFVmJYxVG3+PvZvWsaOgxk5B
pdOi9KNuz9tbGrXJHqGFnFBin1HLFHfv5JFdR8XLeRPzV6MTnyZ7BAQaUiNQ54Fhvdn4YQbncGsn
KhIpdeAcQyj7kasKDpkrfuojcS0gjL6QO+a9RE1jPOZbpI/3oxq1cF/ECWejMHfpXS1RFLYWTMwH
+ZuJScYdGiPpB6rWdo3WJFXptVtdoY/wW0vpzYry3hFFD/zKdLDCPXQdAYjupbuwdxaCYsmXyVJK
6sFyS5GU7mfXmvhNCg5J+P18UCzNyPgJJ3GeqVYRagmO9MLn1lW4Jg8LK2nJwmQldWnhtIk0Zjc/
3jUFShfhr5PlcefXxzxsoReDvOx7JyTFzdO2Z/E0qCSmIaz50LU27v78UI0f+qFC82ZlihoCwRAo
vFUSvPID0m7rwXS3edWsc2WpsXjWEvK4sFDADkn9+b0/KQTvqjgmAzH8XMIt6jIxZhysjUG0z/s0
G2EnliYpoeu8oM19UoKEnLx6oxXhSlykGfwJZf4wcgZsXgZrHnrSSZApZePLg0Iyla9EBGB3yibZ
3IRfhwvfVjeyso3onV4Vq/twE7wm7jFdOFHORiCU2QwmZ3Cawd8P52DVXWwUbBeZmh86Tb5oyvb2
/DjO9J8xUabEU6zJM5U1hbdQcRoELcRGKwbJagizL02IuGemZmvLV64TKT6iRfioCHA5hiiBD2j2
yb31YMaaCZ9RtPZVf1v66hfXjbVV6EtXgld+R5hhVXrBX4Lu3mUwIG2dQb4FnVHum2iJE3s2FE48
mKxTtHEjRWzN0rYoJDXJKGz4PW3izfmBmp0Lnhh4PFQUHssnS7VXohj2eaO0AzF/klRnh6DN/R+Z
mL6eCKEDwy7YG1tPvpWITUjCEopr3gnQNxJS1R9lM4E4RYEeaKWNnCrarDo8tEtYotkUgFILPK4U
2Xl9eh+zuRxFrSqMr8jSdVoHaze6bcpvAO3W5wdr9oJyYmeSALzCE8qh57Zl8rrUefq14AX7sI+v
1NzYlP2vQxNZJtaovmKwM6pT9JLUel0XBRwAUh3JxeJb3v84788MT/N7C+PcnWxoSY9EijuWs4ud
dZ8dkGJQVtaOM6+5CnZeskL0cRsfejidNr28Tr5Gt+4u4D8+/xmzi+nEz0nGUzvJUksdPz3pU5Z1
MBPYKsrUf2ZkEiOeKCSpElLRhAHjBb83cWNd00a+kNvmQ+Rtzia7EQJuuTUI+DKIyRpanJVTPlvI
o4oA6PxFzq/5wH+zNglIJD1yGZpYigwinHyu/yOt2ZeEdOf5qrMwgLPr+GSWJsmo7kMQcDIDWCsP
mlHD8N4vWFjwZkrZY1RuoaG8PFbqNgyZmUB6K19nWbIQb+OofNhh3zyZPjmUZaUI0hgKZlqs4+q7
516nzTN0Ais1b3YmLNbnQ29+5HhfscCwyryLv19ldePGbaVhb6xxF+0PK1h6DpjzyBK18eWTDKsp
k7kJ5DrXtJqos8C1Wf7aNy8F/7Pvok/6yj12wZ+59XpibTpPutAEoYGamR1llCryC8u9cfSlN74F
l6aT1DtKb9RoDNudpkerQCyeyrq60YfMjk169/rg6GTOw/mJmgtArlpc+IGu0OcxSUSS1CBKE3PA
E4dmFebJqEyzSuJPdfbrzNgcvzmwysjgQCo9vdvBQ1oXVYd3RuL+EEx680qYuiCjX9ix9BGLPI11
S8Gd8WkNKa9JPjLUNA/Egf29auNuHVpus4FV8SnOuu9VUVYXtdeXEN079TGSpFc+mXUg7UUPNH9r
xN+yTNq6GbR7luTdDY2zTlKw/1l1ISXZrvPzu4F+D17U0GxGqGOXAHQH+mg+c1i5EHPUjywqXpmq
++vcEm/SKFkrTfGJKtEls3eorWQjy62EuBHvxEg2QwSs3FoqAsctc7HKGveyCsRqVahJh1hA4q6N
IL213GTnmt2tHjRPTh5fBpyKXUW5BvyOxlQX3ZmyW19KBrrBeiui9xD8KIxiAVo8Gys0vEkANGDx
n/Y7C0KOzqIynmGTC51eD8O/LZq7Apmg8zE5u9hO7Ey26LY0ek3XnNIegMaFDawT3lVSqwtWlCV3
JqEP9W7vuw1mCle+hE1jG1f9UXGS4/9xdl3LjeRY9osyIgGkwyvS0kmkHCW9IEqm0nufX7+HtbHT
EosrxnTUTPdT1yWQwMU1555jxI0Tts0WzPkJtBuV26pVoCrdBw2fSlHpyW+dV041kXU3N+tJi1w0
QY9xmU5uYxXc7SsJCevWheJlK6wp8zRr2EEEFzSoUBqPpnUUaUfch/u2qzfEqg5JZlAXFPpvTBsm
ATX1awyMF9wxIDUQLEClGfHVee2XQ+qhliFkcyD3/YQDHsRZ/d8nUd9MnHb7S1xlJnU+lpy2fmZm
op2wDCP0/utzARPWSQaWMOhXnz0qhI51VMcwoZHE7g0Iphluk19jj/qTYvzlP74cv7OVkLatInaq
Hrbu4jCHBQTxYSpCN3zMD8XomYtDgsTB0+nZWkBqUTrRZtn1qZ1MIvay1ybdtME1OM2FTwhIPxBY
kAUyMJ10tng02csiaZF+zdVyrFIcJjC8X7kS12zQs29YGkaEOa/WT/s3msSgVr7W77j4xH1ZxVmq
beU9afQRFnp5Q4u3TNafbVVCOi2HynMP+fprIdxFX/LF4JkvUc1ykFqJbcv57KhUrjkFGXpquD8f
zUsx8Nevc+ZLupzo5shghs1ESGXbIEnv+xcFKX4+/ItW9VdbZ++bxIunFxayyzo0Vw3YJ5n+vERh
kLbXmoYXPeSXzTuLsYwKSj+hha+VpIu1VZP0lUzlsYCULvBs2n897474AHMQlg4Ml4HJtO+HbzyJ
x8jsdPgWcMhDv05OG1r+13Np342cHwelb3K1x3fq5T7LtwPfV8uVdOjyiftnHWdHocflTaEt0AKw
/pS0x4kc5Pj759N2sZr0da/OXNSos8hoBuxVNuaYBuNocVRg/BcxVJ1lXAF+bb7quXSAn1hHYRgY
luo1GQpICb/JGga6nHwL1JMBYiptr7QWiL6aFVnMLY3yN+AkP9UOXrwjxoPJ221j0Cvf+uJ1+UPT
eqKfxUDn929dYHao0CSBM4OH6YBnk15WdTYFgEix6JW7edGrAXqCRASdQLDDfjdmFlXUKZiC8ScW
uUzR7Ul5+vl76KeL8NeTgaFUiNz8r2rPdxNdSWgyyhnfHNrxIovpvjO1nZX060mfhpNiM3UyAwrN
jV44UVK8EtRUMVPUjg4rwpMKabObEhB1jIQ/l1a8jjmQklVcbQrZbpYGM5RzXR7SZXqoIDPdV3ru
VsW4WXj8Og3TgpSEEQHe1GWT5RwMT8rSCMYJJgvSdgNobVDN3b3sFieeoOOoMnpPM+j/DPXInWy2
8rVehSGGXOfteEoGIUoL7lBUMm0ajU9Lmt1NndbbxkKhL9msR55KjymTPw/cGaDEmtLEbajpJvV4
DTJ14cXAIDhmzCBqiL71eROXNeZkDjG+nlbsU2AcZ7rpDFSDR0O0rBF699/zvGNdVEf1Duh0+pey
Dh5adTQanE0EMU9pZBr2DO1skRnDNX2Bi57C1KDic5r/sviZew0jXlKo7qLsbeq2yp/irHfM9O3n
s/mnZPb32TRRUYNonY5c/PvZnDoCELyFqEmmAOMqXIe0Z4XJyjzGbR+eNWWGqjdFx7eDOque5SBK
al2uzJFTM4qewmy9ybB45RjB9LuqbkF2rNyxan4aQas4qhNyIQupU8j6TdwrXsRmx0B9xh2snght
LPbtsADR0NlT1zlT2AQKyOuuBC4Xxmbh19G4Pmk/QRteO7vjVhPLSKKb50d6eG+0WhADEb1FNJza
8cBGu67pVou6VTFSR+aG19bL3sJxgihqo3vhQvZyYVe89IUB0+8/6uyxYXm0yKKCVyChcsvN7KWG
aKyjDoMm9GgeISc5GLYeVXfogTksLN0xGY/qzFFFoyD8KgwwSf98GC6cuNOQDEY8OIqr1nmFoavZ
kmsWGi1TnThyesjH2qHq3c9GLnAenHoc/1g5CyM5AdS0Kk+vkzT2eGGkrSnGsaqTtalIt2pSp9JG
u08iT02m55+NX1zhl9t7cidf0hBZF3FOyYRMhw11oGjTI48HiGrT6Bpf5umNPbtX8BOcmpAjR+nk
nPygR+TFkwS3V7VMV1GXJ0uts4eshxaqCfKFK+u66AYZPd1hcB/AX3xfF0oOE9GBbfNBQO4AfJPb
LLVCu1TqTZvl+3TRtzlprpXxLq7xNJBtAVsP53H2TsPkmMgMvpBpv+V0OpLvehw5fWJdCQguvNGG
yjCyjCagoaMcdba8msSFNi5owRkYYNfT3mus6YonvBB0fLNxdixzdNBiJYMNtQe9IwE4LRHT+MiV
1raGK3f/8sb9s56zz4VkIMMsE2yB9siOAfGN2wQy0U9m8m/S7i8bd+Zj4E/zhHG19YsQ9622NqTv
fv18pS7uG14pRE+YboCY1fdvI5s+xRwxTNCwq+x2NGtIB3V3loHqTKxEDyHPrknBXTwOX0ye3eJo
aeehik+fKpkOkqubrKyuZAKXngxD1UG2gSFGlCXPJ9EqOsDlJz3SKDYHDbDFjQqVn7iKTUfh1ksn
sZlGHf1ewD8g2KhDaZyWKP9EIZ61YUFZu1N7MYbXZogubjcmqg0NwwEmyufft3tKed22E16NLOXQ
ak0dXueYIaooEWAcqgQp2+VKhPz/7MV/bJ63RE1JC4VBr9zPVC/s9wballL1NLYesjsjf2+L12rc
WwACKS9pvJkj1UuG1c+n7KLjhkNVEeJxgJDOThmykypv0tNjiSFtUcZQPgFF01glV57Ai9trAN5G
NfDwosn8fXtpPUVmNbU4WuCItIwbou1amnhGFWBKX/ybNf1j6+xyMgTuKbUGpDkEU6hlI9TqJU6u
Wbm4IpOdXnToe/8lStIsvGBWgxVVfXuEasJDKUtH6UMX9aKboV2uBVuX7Z0G5RG0YqD97EuZjZ60
6VK1vk46O8s1IZMPMlB7ASHkMF2bZgDyEF/kr4cW8ev/2TtzBh1X+7qqsD7ilGvqGrs2SD3DpbaB
1NdV7fkONXDDp3eFbajC8Ca/ACllKpJdKkoMI4vUjjzlmNwa+3IXgzXdQe5V3Nd3J2SqYK4lTNd4
KX3qAj9ViC7INtOGOHhMTZvsLNEESY0pSxsVaA7WIfyF+h1ddRvm5Ov+s8SgpzM6hsNv6kfpGaK6
Cf0hIDcDUiUx3dC76LVYNzfFow76/+mFBtEhnsV4nEEqhDph96rftkc1SO6Ku/Z+3hqOtVKe9PW8
j1eTX1oi2lWr5Tityl/Wjq+yg3qjOJ09ovx4NO+jHXmnbrZZbMMJXWgEecM2u9/yVvC3xDM3hk2e
lW1ha9gcBvHhT/Rk09lW9logb3QHsMh2Xf5qN/MKoiV3xiY5jKvm81/cAgsPB+a7INl3PnEVx5iI
LIuu9S0zcTCtKJLivupy72crF5+ML1bO7lo9qmoUZbhrVmWsWKlt40Jeg4RfOvnI1dArU5FogOj4
u+/oBuSpcXJ61ZFEGaWfsAyS24OTR34+z1cc4qUFYaAQOSgaWRau2ndjJh3KlHdwiCPEMG1Z5a3N
2ZVNu7ggjKAh2UXK+xeplsXNWOnw3ABVGokS4qHAqZj4QrN8jAvjiue95OEJo+xEm4gy/p+i1pfQ
fCoGxLBxg74ca7aDNQJT1t8i/b2yb5fNnKBkUIlU8bJ/3zeVpWO4WGXrD9pvq4fQDt3P9fHnw3aB
IQwfBjO+/2fk7CTEVCImojXC8VZd9zprRSSz3VRxTahlId26mWjQRmh+S63elDq7W3pOHKNvi4Br
ULQZBngfQrL3Kil3hIzbIZ6vfNxLKQNhnGLOkSM9OQ9wJGcYfF8Q4BQU3qxSRZgVATiiTKZ6GRD3
pLj7eVcunibMNZ3o4EAgdp5dWj0E/7Lm9IE70IAnipvplVBU3V2qLSY2rjyul+YMDFCYoU6DFAyA
x7OcoYhGNR2qAqX9FqAGqy28pIHQiJYx0UzhUxzPSJQUwVm1zlSoNfFpuJuVa2LdF0hocRSQAoKx
C21RFIy+n7dlweXtIWrvLwa4aYA/1W+hkPMwU5C7l1m5j8r2Zonm0J4VmorY5AmEUpmXKLGXmKGj
hB16SPoeh2U1k2uR3UUnAkYbXDmL4RicPtmXOxf2qHCZWoS3M7GeJaYwQCZ2JZC+ZuLMT2lLh9Y5
4PYIB5ReYI7uNSuvSaVetoEF6AAPmEw7pVtfloEFWKB8ho2avFbdnXqtpfIHYXoeYwBM9x8DZ/uk
FqxCS12BFMlzwWwl0IV+ax2ifXuD8t9N7Jo32ab6rT5vrXcZgv16dkqnsbnDr+TBF52XBflNZPho
GZ2/MEaOlvdATt8rb97Dtn03SHzUuvHfxHDQ7sWDDB4OlK3P1kvSRAG7cNn4oxLaRHkzSGgr7ScH
6s6Krs0uXPSWX6z9QWx8+XwY+DDyUoW1p1SY78rza7iJPN2VD63TCHmTueWq3R+uTQZe2ksAkFAX
BJTwBG/5fmhmPhSArBqND+ZBu+l/5/pHWF971C6dTHBSgeMTjw3Qnme3X0/MDnR9tPEHepfIo8Lq
K27u4iq+GKDfV8FSZPgyOxloH5roNh78Svn82W9fM3H2YlqkK82sh4my3PTh70XF4PuVEabLJsDb
ySD6AA2OMyehsHQhjbk0aPjseXXLtbUhH39exSkvPr/CqNjjxQMBByg0z31E3YwLG8YGnBYNyLUe
Fr5rq8clPeSktSdtVyfXZC8uLuqLxbNLlLcJKLrJBKdRq0LLVCdCoQeIqivv+MUjBlegofIH8sDz
+FlPINQAjF3jc9SSeNPZJYmcn/fu4kowGHFS9APO5PwNU5e8rOQME2TZR9BRtciERlxz5SiTP5Ix
598IgR8g/mBKgt7o2W0JdVzFMMYxgJ+fRMaX38sAEFhNF6GgfTkaizvR5baSk2iSWHCjtq35Phsf
RkKf8uKN9JpTVzoAi6XNk4OWhIGpqGA5Wxt59abrt1R/02nsEao4aWM4cqT2QMEdbEUTRlfUoFZ0
1HJqh+iTozT5owKRHi06tIDgqtZ8aoVtZ4zwsaLZjCNA92RYy+mx6tSn0FxA8g2t3KSGIDNNQCYF
4bRisMfml9nHj8YS2xMkQTUNC2Ov+eQtYSlGjEUvVD7LQXG7Olq1auVW1a86flqmX4lleUPMbDVh
T6EESZ/1NKcmShEIIiF5FxcHpZU2hAhsiuA/ziFexdQjnQqb5NONCTWXBvNtnZEc86wUCY98qwbs
gJnepCn+glZNa+orlXZuqoSfqIffRsXRBK1oHb+BXtle6tVi/u6UEFIOhTOCpxqDtY5RS/z9Jxs8
KOg9CTtbSeNDS4CR2scDcGrVS23VW6X9IGCWkyqYZpoHLmeXxJYNRK49RHikkU/orVNqMXTgVxhf
88e6eRpGbtMQHuBYjtNuTpqVkoDb3jjk+kuBkpJJbzP9k6sHkk5Cjxu3xc0iTWSnzWC3wyFOXwaZ
u1FN3Eyhtmq+IR4THHi+Egom9ZSCsIq6mJ9wKCYTlvq9U9/6rhIDS1E3e6oWLI/M7mkmtdZbkWf7
EaTMcbeLJssNw35Dm8hpm6d8CMyWeWA3e24niPWZh4HdjYrujfWwpWrHRG0C7DNMzS4n1sPPl/Hk
Nv66JBx1EIMA4/RXqb/VQ3Way77xTeu2Le/JgpEYdZ0pWIbyL4aCDdCQIJVF8mdQ8+R7vrzMpjoO
ccMgwYY1eZCXEzVJgoW8NuHViOP7suD0dZRaNYTrUBmG3OJ5I5fPkTaPp+zADFMQr9RycHSryl2r
0O/H2pBiZnqNLrIxAIRnTI99i440K+J1U0aVrVZo3Msy801paGJUxiPYGVLRx8Ohm6t9VGkguCx7
ocvuMBWgeAd+L5/GCK001BEbbUSGEJWgxO77fcmRps1adZL6HG4bVP8SbV5cnUMPTK2GXFhW4Wk6
MPkY2/lEAseCpYWsC5tTyM1P+ibrKKSOStNhMl0n5vKmsxknP7V83snJzuTMRdpIullYN4ixKnZx
brgTHx4XUwUslesO6+a3vJBclBwuqejoJjX6wUFctl3S5i0u8xvehRCpauAfW0uGnpwWaFdNGRFt
qd8Rq12T0kL5clhHNL3pEnkF7YnO6YWDyFULQ1EqQ1L4J6z7cjhUhhH4nHSN3xLpIeF1ExPMUWG0
M2f4wVQ6cR86pGZ+rsVBzhY3M5ZbZg74qdUqoS18g3UvtT53DTl5Rad5qRkFllRSIXNzrfeJp8TW
L52AxGwxXRyaPcC7bjmkkegzLWjgDhJQ8cy9tkXFOLCybB1xGSRmswKbP5wrUHd666Yojes0e7fa
2e3GMFD7qgA4INwuSbXvly4Ao3O0rsBXGWTJ9GsZFbweM75zaJCAsvFjVFHwVoxJusjyiACFfyzU
00vblLgHQ6WbewytPeZKCuaRaN1pyyimPgGI11wSt9eWYM7JAx2bT6sfqVhi+UHKYjfJ6iMb8uem
K/dZUdqg/fDMMX8OF1QI8h4vz6zrIuyaNz60UJsJ2bG1Ioew+C2a9c+wUJ06izaqZrwbMQ9II53O
6B1NOZHLSSsSoWUAKSVPp+KdL3Wgx8X7z77oUuzx9Qicgq4vR6DopiJqFhyBmT2ow4NCnn/++9lF
A2BvpPBBiN3O5+K6OoMfbJsGtM948GNM4a1NoA0UaYmW9s4Y4WEqGm8a8VRCh25O6NY0ZaDgv8jC
bsVw8vSGBiih3dGmWoPJfI9phDXLx/usNNZWLdd9Ea7gzYUZKl7XzftlrF0FsNGIkw2B7rXRgkK+
sp6W4poUxNXVncWkZQni85TViHdE42w0HywSDnTenMlR3RbKOKWd27pr2uX2CHFU1C4c4jfiF3ib
g2AOQu/AnauiOZfiZIxZ/mfHz6JWRpuwn8AJBFnW1sWcd5C7mZf7pts6KF7jj26XXuxk9se1IYo/
7eLzl+2r6bMsIF0A3O2haeLzoHOMtXHIVsp7iCJ16k6BXKW+Yps3dKXe9hCJpWI4PFYYz7Z/jxvF
+fncXQp4v/yS87TNWiyW8QabYPYnvc7PBggW6xq980UgBHr1JuqEJ9bE81ZehGFQ2eEl8ss+CzGF
1f0aajDymOXRjMNesL5+wxhCJfqqPfYV/Te5Kcp/J6w+Q9B9frdYPw64vdjuysoBB6uhNgyH/fNG
XiINAFYTulz4Hyoo9Cw/nYwkLXOeNf6UQ22iNUCAZ+pBlUF8Go1jO42rvWVCH2lpblhZBJGldFcK
UKdLdHaqLIJRIwArT4Wuc0Il3DBZhmyu/QKSFx1UtdrYRK1zS/re/Xmx1yydnNkXbwjcUS7zFJYQ
oEDLQ8sRO9IWkSlCNleV8mrv68Jd/ba00zH+YrCdaTpOKCv6gA2F9i0L+FGtvAe0sLgrOtcErwCG
iQ1b3aRe9VhfI3e7BIX/av/842Zo5ymJhP3nXS12t7cPq0UI//Nue9y67j0UMiNh/z6gqvPzPv+B
a51/Ug0JL0rJ2qlhcFa6idAL7GY61VCemTxEVRvLfhqFtJ9ysUNWY+u+/3n7GruTEHej438Cdy8+
B8xu+tMT1P7EC7EBSBTBKK7JQV6qZYHcBl1WFShlC+n4909C1ew0lI+florN02ZyXl9XIRqIx+PN
urGDK/twIQJD4ExBsn8i7MEA+XdjJsPe5y2MLV4uNJ/ataD26E4Ocd4iZ7Dvf1UiEWISUJIRD3ef
x8X91YgX9/5Qicl+x0CTWN8HH9fmmy/dg68/6ywqUGJDJjiYNaqHx7raRsZz/q4nV+LPCy7669rP
6RRo3fAynWEk1J+tlNqJ+jqSt583+NID/c3ImfdalDTho+xryMJSv3eH1ZthAx/pSOcztwchDEWU
j/4gMnCYqSJy14k7i9+gTHXWqVf4Bzjx1c8/6UJA9O0XnRXjImMMZR6PtS/b7aBoog6vNU7+3Nq/
btc/p+pcgjY1on4OTewsYpHZfjPFc4kDpLkxLhDYs+3j/0YBvyKXO08/r45cOTr8zKNZUK/j6TDU
/vTMvXSNf7/1u/IRXJueBtZIjwojMK5ymLJrh+n0s744UtYi/Z0IzModnLY86OCYwAdeL2u6t/bD
pgusle6SuyqIfW6HvgG6XPOArvyjcQemeWQB9UZf1UEv1ICvrlX9LxHYfvvoZ06lWzQ5IPsGa+/9
4qUbhEMi9eU+3eHXrXx3fR960evwSjd9cI269srWALj5fWtyI+3A8gHbG3i00TaFYbf4PxGZgwKX
o9iTABePWBCuKm7vJAL3AH+CR2Xd+XgAZtEGH4efj8nPnwuooO+/yZi6OVYXnNB4ht/L3xjpIRl4
JW6gJ+/5/98DJLnfrcjRHEFdipXTtWYTh3mm1/sE67xT7sJaaFAywWVvHis/EbbcJFjqh+H+BnzV
/3m5l575f/wpwAXff0jG8iEJCZarIkNokRMYTiUerw22XX5V/3PvkTF/N5NrhUS7+H/v/W62Pz42
z6+5eH5W7VvPW70i/RKWg2e0ENuXX24m3vGv7c39feB8rK984MvP6D+/5U/o/OVCzpqiGC3Db2mc
p9salsH1hD93k23AviWoOLTBFazkpVbtl2uGyv33DWBaCGDCySgTpyyM2pp99/luOH4hmI14ob9m
8dI51plGMHViUAJKte8G6awrUNCDwZalnhy2fTIFXRrbPx+fSz4Vs84ael3AiWCS+LsVowxNs5tw
jq0U3NZ04IdyyjMXLLBBMbBrMQn+svNLc5q6x7KAK/irq7Y0eScjZC6+jGLclWRMBS+vJammeeFK
cEABEdKjvW9q52vKIG65DG2EBK1QmtUoSerScZpR4Kc7K9aJu0TNseyLlaZD3zk3eGh3cb+dQ36D
Xngh6kp7psP8NAy5F6fsKVIKHZVrc4XEz0n1JhYV5Kzu61gxfTmlCBQh1CckayDPB5R+4/RhNghr
AH/FYKm/6VQtoJKr25eQEkxHxHj4UTssMj175Uk3cJFogypyhb+3bX0nJ6sScakDLS2Jm9DityT9
MU7rhxmtNnDGwRaWA/HkuVLsaK43k4n5HAPQL0o9tQkf5wyvMRoBTRYWqFzQX12BGS456GvZGRjA
fm+nN1nvM2O6L4pfFW9stYndHD0LZi5B1iCI0TAZnrwD+uPo9K6Scl9NyqqjbNcuOWrlQJDrYIbO
qdOM/Y0WbpaEiUkin6CNoMYDxDLWRYTsWI2cWL83lGez6teSvvYatNBrdHLHBc/CbH6E7WvH32pa
HYcxDx1oUwndOnTNqog+w+nNiJMKPasamGuoquTkdelewil2ooI9J3F40ySDYBOoANLxjsU4xJAY
tW7K5BOcFV43YJg+geooSRZnWjZTrd1VDVftfoHwZNyFXt5Un0mRCU1vgso8NviPJkLeyfSxYEck
wVNWEIdrH8BJijQkXj5bjo6WQTQv4DD61el7E9NO4zg51PiAANw+6WEOxEwYa4FfShSBuUQnq8b7
braEsig2Q+cklYVT18zLutFZwsqeGvxujS+7mjeeRUGTxhfrTmvRX1i4ujOjzlMr9T7VRoJyfntr
VuG7bNr9WMy3Jo39Eq2q2gItTRMf2/nAaQyEsQaKumgMRjb7uaraGcBS2aKudCtZUxXyNHFkz1D5
mmZzi6nQD4I+Wj2tlTkU0VDsKz5MNs+VbT6HXqzrz226V7Xb2dQ9LvnDsHSb2bAEGKuEaTV3cWag
vhg2op35+0TvrBhzMwp36Ynzr2s9SjSnwljgPPeCQxkbJc96YmiCGG6IDxTz7hF4W39oVOBdo52e
K4Falm4h021khh9t1K6iPFt1cbyq6v5GquEqQ0e7IsQOW/j9onoc5bjNK5TzteQmWbaFVb9oOebR
9FIuD+iYPNWR/lHWdWhn2rQO5YBxIyiMpfdjbLla+1YS/pqqiYfSubAqej+b1j2gb6sifD9R6pIx
BBN2Zhcy8xZOIAu/2FpXb/t4DiYjXXVquY27wZXA8PR5s4nHyiuKdgMUWAfyF3x0Ojsma7yl6N15
CJkTjhL0I/PQOFxpuM2M+NfAEWHC2xjZbqyA+Bmpsg17ngqGohO6YJ16iMwoCiooGbgxb2aQjXed
qAuQDylU90jT3cim3ml64mMeKIUAUUYwU6Ipm3BmbsFmeBYjSHriLUbqgdUMInKtMyzL2mj0QInl
jlhwTxo6dTHICDSotevhU5mkm64KPWJWThxxaAcMK8UCWbuVrlpdDVSrtoc5d2MVpK1K/jilrQce
klsSEcdSMXMitW0W5hCdMexQjp6yhI+yGx7A/W4zTC6qWCp0ekRlSq+fo5U2Hkm5+DMmfeDpRJo8
FvUkMMEvNOUTUCFR1PeGOdhJFooF498qGfwlTW2ZjE6ulyASAsJmSB41VntDHm9IaXiqEt0WKnXb
sd7NlfRoAmUrqWGNkEocMeA2OIVaBmEnISWjyyc+lF5OZCRIr9+mg4lezAQXm6d+LCtkGrHxolQl
wd6t2IyBrMlqMRU2BHoJwWOamil6QuPklrkO3cVSf2xZvG7DeXCYYe6krHZFQndLyg7TON8sCUDH
cbfuQdYqwkUFgwuGCjQVtD5sWriQMX/sZPkYQf7dbnhFnJGBEyLKloDSGs1vztdJOh+kiS+uGYNf
YJTJRgUCuSc3H+pw9KQJ+DJHJzyu78OoisVUm7uJKq9TBB4zEPwwnFL22ujVY5f0tzPRoLjBgqhG
b5qP8HNhQQUulTvM+p2pxX48tRsKFhOh9dPs9SV/6ZNltnslgkaZhpcnmejLAr5Bwbv4vuLGS1qR
Y1cCfS3zJ2r0TJQDngI1RB8PPd5SY8cwiaQHSjJAADVjwWj/tNh4zTun77qDwUDuCNzmu4XumMaL
VvSp7iE5Q+ipDzejka21Nu/uQig0iGVJj7WGAGM00o8WAuuL1W3VtogcjWXofpmpWEKld9oxBwpc
R8t5iMce/zBf4C3vstF6KCJyKGI9WKBLZUtF2aWhfgMdOdM9MeracTVgQB/QyKLIHnMje5EWjR11
gL+s0uhoZs0LbdAlyGNuV7x+JZiUJXOFllOYQWNej0uhjqObh2gvRIr8XaYVgAcRGFFiI6zhz7XH
OMfliCPFBMohPoYjhMK1oSFOr/HJb9IeT3AkS7SDFNecGbr6xVGZ2LEgmIDXgKsTS1avM8uqdkuv
9vZIU3D0sDp3MPGMhn0eMxd5DEb/iyUTFeldpPcMgvfYvEWUWt/apKecIJWjBMIopFiw86UJb0gH
fPnfaJLGTZBOQzdCRqhQW5cq6iqaC1udqpfBAFBbFnvzdASyVPU4umi2mVN8r1zT/EIqVDRh41gG
puyiiJv+MOqal8QRdeYcThnM3OhsycgzhrxzxxBcdU1cHbQ5XBe18jsulpXemOuh0G/JmH1AA9ED
fNgeRrJWwuKlQHNm6bNbQEu3bVKsOO0DqU3PFUjAhTXLe2i/YgrHwNsepuBC0I3uSIbxIaI1RAlr
v8e7a3b5Nu/DbbmMiK3QS+TJuF/a4cXC9jhKjCBn6YqXuFTHQFWygM7pQc2SgETNozFGG56Way3C
VIrBWsgcGos8aeqV6BOyzdDhpTeU8dVqK2pLCU+R1Mrt0Fg+ghJM12K8pClcygtouGYOkcbTIuOD
OoLtGg1W9BkNfCc9HG64zLa1yqBLggmkXLEQ7xo3pR5iBFy3h5T5cV/4OaHHTJqQMIptfU6B0q5X
Ja0fQj3fz8PsjaV+JByYp36YNxGfNr2uqX6pKsCQJPEDWA89g0Ubpjb4nlaz2NNYo9uqdLrl510P
Tp+5eEJo/Uj7CeevX2578FXaw4JHWGG9abMKMYViVHesTAC4SftdRP6Hve9qktvIsv4rE3peaOES
ZmM1DzCFsu39C6LJbsInEsiE/fXfAUUNq9D1NZaa1wkpQmI0u24lkObmvcdol7bdbMFUX+dDfIPZ
TSCvUB3G2CaOCrEFJ1fy1GtkrfHsJo0OtoVVIsxE9ceixQ4oyEUt2quYs0vTxB5WpemTnnE/jPpH
za48anb7MtYPuSLWSctXDQQbUTaWnbrkhy4a3kMD879I4wczjC6NGmztDJJIZa36ZVTethU7SA0S
jFHxrU4BiTH1FCg36SK9y1h5V8biS/XdDIbChs9WKfgWYIB5ug6QdJMyGmhVKG3ipNAPGTKKCyNV
mi1uBrJvh317TYBb2HeRcZ2V9VjveWIULmj/Bn3CnECHHxkjRM+lnpFordmmJ7jaO4wVL2GLs6Eu
NOIUBJV8AOcAWZGTTZxHuJ5YleUwHfeIX74s2oqCu9sEWCTqnFagASOt5lRBaYWPbqxkHvTmWma6
DbgMvxIJF22iAbAGUDTweLDHm5thUQ1nBkDiYD91mKymeZMOqrYacYtYjzpZKKGcuWnbk4En/HyB
LjOtWYEPwquJanADTSCh+4V2i3PDrcLV5yMiU91pdvk9jjKvnBKS67yKEIXkXeT1XNvSvN8YEvXs
sBqgaJbVByFDdUzAGXpQGg9zr1tFoY3DMIn3lMMXqjKTyyJCLgIP3dxBsrgqZQvWQ6FbFdXFtC9C
jGPLJe0wwkNHl7TL1hxvu7y+5n332CejV1tAs5Qjd5FcvFpS8Yj+nGuFrRv1w8EKKRKqHizaAtD4
Nq1NR8TD/TiWgKWbL3ZSeXmOUz9UwS4Ek9CE75HWAoyriAsrovpCf/D0Hv99EgD1g/anCi/rj2oK
o6FJYV+AKCEX30z6IiCXJPXwA1M5LI+aVQ5iVHe38JZOXtLHkLNqWpXWmhFXABq1VIcswS3QHC5y
goV1dDrhPkaZFdOoWuQqsLngAil7XfomNNDIcNh+PpRZB/lDlO/KyUdlMpxeVVhAzzfQVBZUovHC
Evq7mmsmWTCIp7i8Edl2Ovz+zbizSplSABCeNHhtYwo7LKTZetG4Zq3B3Zc6Qxc5nfVE7Acppgsj
Pq1l/RgwkGImOmsomM1Z9YmaSrWmgJEE0Eni2dkY2AzghLq5j7VkAWw/1cV+ruaPsWZ7BgwnzDIu
QEwbE5AY8ysDeRubtKYBLIuqX3NX+B5NA5EejF5oH8ofpG3jDOx9KwVBTVJhJx3fhjj6dHlJFvPM
ejuJMmtRQ3mogI06SD91I14ie7hTzfJ9yMrXcRyAI4y7W7iIbllqv34+Y84sBxAWgOKBFyZwxHMy
Th31qg3sHHQXpNTtI9vjxjuy+oXd5MzsOIky7c9HywEnpMnTugftSke9mN/XloYjvHKRFi00B86O
x4SDI8EcJOZcMa/ThQT5Vw3su7b0czN2UU3eV+SXYPE/5sRRlNkMHI2KMCZwREKkaI3/X8u5dtUx
Y/X5y5le+myiA3cPZQVwZ+A/PRfOg4R/G3exgak3QvrEGj1DX3ozSyFmbyaRsh6dcTyvsUFB8s0G
XOHzMZx7IYCyKAB4AKKOdOH01VOlTLLehKrnOCjQrxq3JexyFMArPw8zYwLhlUx2MQrRDSBwrck5
5jRODR9AozBhGtNsAfLc0g3bAEJ2XQWwV9zpG+2CrZnfu8OKbFXwcPNtuqUHmH1eff49PjzP6WvA
B9Ui024By57Tr1EOMLszv7vdtV9G+k3nC72QD49z9vmzQ7KR+4KOagHR5qZzjLZ0QgB2CtTBPx/G
UpjZ04yLwqyaHrq5DNV0e9yzYnAgu/nvRZmfkgZnPFUTRDH1tyozgb29q/gSe2HWNv8xM36+krkC
I7JPNdJSRCn9yhde59uOsocow65wxdr0K8Dn0DD0jFXtquvBsb0lkcHzcwIqzjL2WGiyTw/7aPdL
0qFvUCqDVi+9aqVnu/p7z/FngNl2lBfI6GMLIySsdfXGghV68liqYbTwvmb97r8e5c9As9mdJk3D
Sgp56Hhvgf8eX5mrwgf3Pl6JXbiq11/jx3bb+prfHqzIob0bLuwmM9jaj28ASTgAeSBiQOZ6OrD6
q/SqgFcZsAgOwFxqWoJ1wfIVLqcBRaOh5uZ9BuUq2E76UbmEu5+W18mOjOWn4A2iwQVZww/WVF0t
1KKSoccF5o2T0PwwWlCfr8EpoLK+K1n21PRLb/fsUz8KOkdViSgsa5SzsbW5NaZvGMj+1OvHBA4y
oB6UQH96bQN0ktaolfnE+3wr+HB2nw75g4tVBfWrbHLiLhvmUfXrwFGWE6teWAuza9Zb/vPdKmC1
qzIg46BMzdaJOoaVgdIOxM5Q1DCccV9d57fhxrgKV92KvqY3w55tx3t+mV8vqYucHeRR6NkKSmFj
Qvu0h+R+uibZjd5DCTjJvTCv/c+f5rm94HiMsxUUG1VV93UHN1TkW8K+TdVfTU2m13U0kvkBQfIW
7Ek8xCgCiQIucZxvwnFJcXbxXc0OiCpUc1C34Ac/BIObXAwoiGx4cJeu6p0O1BV7BYN/ey/vliBs
6I6fW4LAqwIha1nkg9dU1dtZ2jLMRzMr+kA3B92tmqI4QJXRTbvGi3N6bRsa5FX79I6kuulAAr53
SdZrXtc1mzy0tyDtu1Fbv6galJFqZXxLOvpiVIVwE25JfiHXoaOnzR4pO6qhMMTjV60abWsNcBZh
oQoV+lTOXxVjWDeUgbKV41lrkDVuMjSiVZ1pW4NCrAQbk5MyOUgFxb1ea2Q3Ecp1n/J7NpGuMwFc
qCRrLrfsK56RtxDSnY5MOsnXRdQ7VgOU8xCjzweJcbotwRXYjkL6Knol3KLcPnoczQDLjm4Mw/za
ogMHegdaIYq8Hc3mltf6DUEbz4nozs7h/WxTiFmFmSf16T2gwcHY5nAV7HfjRAQzUr8t2apS0E3m
kQl0QPo8VHQjsXiL1uvUmQBrAfj0baoj7YgTVyqkC1lTVyKD2LnyTG11J2fYgOIYxBy6AR/G1+XC
UetipcVkHUqyK1A0Tc1ihzKwa2GERj2uaSahHR1DUTOHQuboESPckRRssDLIOl+DRqpMGtiESqtW
SPssGWBOWOH5h09c69A/6p/aYlPID3yUfDlK3YEXF1BA9GisPZal/pKVEIdRzJWos5XCJVdFiTIy
JLc1IJiBE4L02ppnT332HqO9m1/J9ZNKo6cEM3iQCodKaHOTdWGCoJKkUODudkSwJ3QfHlVw8gZ9
3ABksA+N9sHWqxt4Uh9MCRMgZ8aXXhtvFKNb29o3OYo9I7yt7DzIBbLS4j2XYxBrogtBxDakD01m
OH0O+w198FMJQFhDdRjK9xWajGrZbDQeg7doo/cQOYwLD3iFlWqaE9sSyms1lOeNxNPli0I2nLLL
/Ri9nSFhrh6lKz17bYYro0JN3Zx8ZZOtDOc7hnIlJBDcMg1Xkmn6IqndWos8gF7AIkUxlsgbyIls
RWKhjV+shjTatWG2q7P3Bhnn2Hyp5Hs721th4g+ohzXikTewfrLfBXAHbeeQDhMFLCFLG8DusPa1
9cwHGpgqyCJpsk1Hy5WV2GHyAN5XEsB7zTHRZ5K7PKjVu6a76CFA0T4WJpJPFGRzfETfPVHUg9XE
RNdTcjjn3gACJOkLx8QDUinEv5PHGMZqYxiDepi4mXndgZXJ+V1YjqvRAhQXLQ+eURAVBydiOFIL
NHQr6pbdCHC44YjyS62qoBeUjtS2K5IRv7NHaLBD1b7KVkmBNjaxdjCL91po+Uc9d1Ce9dKW+qAV
o9+euGmGDie4QQW+owyKZQvzqJRzl5eVH6PrWWTXmSYHsQziNnrb41s7XqL276UwOlOU+9x+qTXN
I7zFwHMnalH0fu3Lwo2U1hVm5VXwNkh04nbYG6TGgqJ6jEolbN6yAQ4F8G+pojdLbYBfUiBBBhNx
ErtVrm5KuwSqRMPaK75AMXYl0KUrcQFEd9F0u9b01ajfgG64h2roBmrqnmI3gZW/d7a4YhTk1Dbx
Wn1i8sKaxAUjC9uVqq9QsQM3jNeNm4ziRePRutGqztVo+wCSwQ36DdAs6ofnboDDh9yVdzKz35na
4OjQtBGNqoTCw8HcGBHZRyjfe3kLNc0xz97rgZtOzLBpRTnGpfN0VVoQCOpzm/qROmylttmoZfX+
X5ECSEUyOQrrsbzJ+3SliWzTqb2XpvFOoJOcZ7ofTRAUFDFr9OzYoKyY6C/SJr+tOBT881jddE3n
QW0wsGmyyVUKuxDmDqbmc0CPahCW28xyQIVOHCO8ayJ5j7ThHt3mPSuTVRRDAhvZOJh/aXPBFeMt
j+ursQJUgBEXOt8ATFhemVoufEefpXp6F4WPqpqvmqjyVHUJj1Ua+XHW40jovaKxulVi4FvDesIp
uNEvpFzn0h5CUN1SYDGA6/MsG2lrPbRLJWqgsl5BamQ1iHKTdRWmub0QafqkeeIM6X8EAfYMpZlZ
pBAkXZWmiASZnXWXXPRVCGL3zWh8qdslh4hzORa8ShAJBXRIu8zySKBBSGPgDaDkgJZSlExMdd4s
kTzOXQWOo8xSRhaxH1F0cVOMgFVBRcaaxJg11QXmxB3yp19PHfHocO9BV0a15yT8odVK1IiyJshM
6Dt3AKrlN59HULUzb0nRVYCJUbyQPzy5oq5VUstIg0Ho3YOCDwD9c/qE5QJp6l22Ld0AxwyOqMSJ
kF/5CncEQARrFtibz7/JuVeo6FMlZVJ3IXMxqLqT0gj7JvLx8dJKSpcoS1KV0ySYT0gUPkGSVFCa
/GBY17e6Zuq1jDxZG3aRzPejsK+HcgkifG4ggHhi0tsyaDFz6Cr8tHIqwIoJ+vCgNs+6vQDIPfv5
kILRpnInrONncz3pQcZpuIpsON+X+pWFXODzNzHTmPzzVqYfRZjNc/R7gXXqEUGDWF/nK96Ecu/d
98THaR3U14m3ZI96bmUdR5ztFRYHwpBriDhSCG6l1xZQgpX1YIy3aRT5yrhUopzxGz8OcXZnSnv0
XZUBAekmvrK24TbZwWngXgPFsgTVIQXlACIRrv518OgNcAYOAbgRLANk/zt5gT6DOXhmZqKMid0Y
jTc8+NkrpQnOgajW8G2iZMpv0SQM+SgAChH5ygwfSAzERqpieZrDlVkCL6j0a5Q/wMi3KAAsDY5a
2YNo7rpX8gAyVms9V/ddmrxEYFLDuBwkaEiFVz09xFXnAwHtgS+/kfXElZvES0XiR0WyMkIdeiLv
zXfHyA7aGL1PlcTTOs0zew7OeIz7K3cr9KDpYFy2CfUA4FjnMVSYhNhWmZys9AkhVvJhRWMp0Bt9
VzTqWuf6SoLSYWtYvpCB2ouLbczsHZdr4gqo/jvUsAtXIhQoEPubwdB6LwgQcnbnDb0AFgNXrDH1
wNC9s0ZxoVpf4l5/NqgJxTQt6Jmx7wsLh3dzV3KY//Qqcg6V5K6Kj1awf1qd+RgpMnBenLo98hhW
8l1c0NQtcsB9aPOtJ9zwaSm/tJNjM+KOYWk7lBWepiaAkgDnNsqRZ0ho4gF9K6wWWVsNOyhgQUGH
SXFt62AnrZj9zeQD2gkbDSowo4kKdf4bs42DXCKb1FJ2vdFuqpF6HLgbVUvdULA3PurwaAJWAbi6
VdUDlUOag552uAK8pSpuoslWDVNHDGXQCxU+mMhcBHylhnKT9Nq27p/D9jnJ80uKBqPoTXxfIBs6
+021oktUdb2Cs2sRQ/EgEwmsq7qlSs65vRVcO6iVGya8bucVVzrd3ePGRj1SV50QyJAsYxOjdGFr
Ope9HIeZFtJRXVWTorRQGcIogElZDHgfnPbZnugLS/L8cCYHNJBxZXVuQ2wyPtYyAEqBnsTXUi1B
XiY9dPav2ST92IWO1v1so9VzYGQYgFsQihpdqVQDLSFbiy6ym8/uL9PWohm2BZLmlAQcPTYzk2pg
W3Vs6EYtb2uGUgmwUWuzSl9hBIANAv3pKNnGFPcLVWouhdkBBqGJceH1nUkJwRBAgQA6d7ry4ehC
0wly8nnZBFF4G4trXal3Ip6u57Evk5fPT7Ezx6RpEkiYwEkab/GDiAlMvdU2zptAS+9TQDzteKki
dubQOo4wL9KSMqYGVxAB2cymHur3xrQvBSsOedcdQrl4GCdT+89HdWZinsScdfv7OCcRk5Hosrg5
yFm9SioFmkLSQr99KcxsnfV1YocpII9BUjSPxUhcxruDHNOF1taZ5Xwymtm8hGaJWfYDwtRm4TEF
siCXegJ1Ilx5/8ZjM5DfTZ7O9oftKcq0GNkFQ6DSXGmdHlRWvc41dWHbODseA4AtsHvAEptvG23H
ytEIeRPozIYITT7eUFPeFEDYQWhnYUhnY5mo+8K5GJes+fXKDts86iXRBDkJUb9grmSX/ihSh0XD
35l0EwwNVr/G5PV8un10KpQPirxqYPXboSGhIx2zElzrO5oFn7+nc0sKb2jSbgEW6cNtxCrLRLLT
pglIbz+wJt/2VrQHc6l0LUVCFQvnHjWXJNW0M1GtiQqOZjVsNT/MjgSgL1ZoYRPYJCq9skigaZY3
IJJ0NRg9Wdvc8BTJxECV2o0l61YItqc021ny8JygONyUoTuG0gFX6m2i2td6A/XnKL5QJFQQ0rR8
lWsGAWtwQhwdSCo6spVWFGtiGBA+av2ONO+SVd2rY2U4UH660fRiS1MF7SadoeVbNo/UkAH95NbC
4z6zR1qQcYecHMB46oc5FGuVLIkobuH9eg/Bpl5ZQied2UdOAszSbFkDngySD21gIFtBjfQCysIB
lJYW1t3SOGatidAqU1QKJRS/qhghNB/KUwshzhxdxyOZC2NCCUmieYIQjZrcqqx7KVPlHZo2na/n
7b5s6QKq5czyPok32+iR5gxmPSIeMn49gSVPlm3AjPNKs/Y+X3NnH54KQR/YzGDVzbVH+hpAbq2E
WmUVT0p21aEOh9vPQ5wdDJyLADHFpoiq0+kGIpkKgOR4TsGQtX6mAFTbxOVOT8YrKeMLL+r8cH7G
mh1dWWx1bS8yxBIA8Kcx+QrK56933Cz0ov41ntmG2NZVnHdG2gap3d6wqN7D5ggwexGtP39uZ8eC
pvN3F94JfHT63JjJ0Twy8NxGVEsT7SZcUgQ++2J+BjBnjHJbmJkq4gIPi9luZ14N6IAyui5CdeG0
OrsRoKyj6xAvhzzm9POjDBQpKZgXKkYCdqVjQZSLJIcuXvJXODecSdkZRxTgOLDdO40SJ2Xf1ai+
BHlyX2o7HZ0GUw1ybWGKzaQRvuftgEv/jDO9t+PRQKCgK2XAO6xDPgEituO6XsNR4FJeKS5x0TdZ
QyZ6YUc49wixS6Poo0BnDf+cBrUgPWBJrAIOQrP2MAjHjTpbkfjvvCmoK0Nsb0qU8D+nYYQNNGkk
IYxGvoQ5lNHvlWYhuzzXSkaN72eM2bFAmc3QNEMMctk9sDtlLxMv22lrsa794i7d8bs0crInY9fs
ioWU81wz+ST2bE3FVLILMOZE0F1La+VSD6xA3yoQmYB1NGQUJjGR3XvuBF8DqCkEzerrY+UJwMjA
23OucD6D8Z6uocKIQpDyvJRAnlvwPx8MaNWnD19JKtJ0Ch4MOH/gjHaox959vqWoSyFm00hSSglt
rHoq+A5bdZvdaCs0szy6Svx2p7+1DvPRgbizA2ulr9OttGnWkKvzPv8WS19itkkPA0+YBpPxQB7u
mfHSKEtmsmcDTHgdTTYh+Dw/1DRwNTLeAayQqWCYd5sEEMTPh3AuIfiOCPoRYdqLjvYA8GiTPKoQ
IZ36mPqXnqJlSUtnrAIzXcIKn93YjoYzW5QWKcuB9YB4jOgRpea3RFQeTukaZdLPR3XuuUF+DBhU
9AQNqJGdjor2hoRmI6AWLIUhAGhgprKkyzQtsFkZfvIO+1eI6SscPTiqVpKpcYylzWUHDTsYvN+l
7NEgbzEH8/TVUF4/H9O5hwcDIcXGwaNoH7TduMmMvNemFkdSuT2pA0vbWy0oiCTffB5pZnTw58Fw
FEqbrd8GWBJuM2B9pPBVr4gba0VgRSi4GWwXxq9tj5Lmm8pgf6OD8K6ZSxvrwlC12eI2SGymVEJ8
IPVAW9mHQXWTOGBhbtKHYfXcP4yvuW/9jbN9krVGrUWBsdHcZWigIcC+ChoebOrpAlEQdf0qkpYc
Ec9OzaMws0MjVxoQmikaREmdryMZhZ1Gu/38/Z07Yo9HMjsbEi6GTrYxEqDDoC2bZoeGkk0G/eLP
45wfiqHihgtWMJS8T5dAmRs0syp0HwRBow2ok0z5+nmE6WF8WGRw5wI5A4pkhqmdRsjbSO2AgsWG
kUKlJq9xlbzStGcqXk0O9bmlhGiaV5+Fm63pgtY1YznBFIDt2hUay1+0wLoMv8q7eLskg3R2jh8N
bfbweFnEhhqimNmqwm3Mi6aGy10L6FX7/PkzVM7uVEeRpm9ytFOBw230hoFI0Dlv3PJVWaVX3SsY
6I/RRvdKl642oF0DSGx+65ZQ+udGSaDBj94sKpjyXOcd+tF9mIDbEJijcNtGuCYQM0iTdHL4fJTn
BnkcaHYUcyni4TANEpS9IG2krzJaEAVXVxGDNqOUQyM8Wg/5YjP93Plp2nBoUmX4JsFb+vThgsyq
AUVrYg10txRedq2xVqGNXlapm7ad//kgzz3N42CzQQqJsEoaUGiHHadXKwAR2mjgJHV4a8l18Hdi
oYo1+UvDjXO2iRSWXNSWgYGZ5YGF9xEsus1Ax7A+D/PdYGS+5r7XM/+MM1fdS2XIuCQMY1IuySW7
y5/bK/JoXoyBfms5/Usoud3CdfTcpmJB3hDEIU1DI2e28owyzsyQSMjausjvIwlYqFWX4ZzRn80h
dfNmYWpOnzcf4XG82fozjRZluwIIkhQW2wVqcRyK/UO/cGguRZnlVvVAIiOToOeSD8Oec3NrZjp0
WJOFabEUZnZ86ZguXW3CO8BkzxGnKBrCKIAscR0/viJYnk0qlNBhAqhjzh/SiNTY6VAAomuwbdRG
XmMB2ae/dBDaVwZoqcdL+rxn8PmnIWdriyRGXJMsHwLDYm5aTTJEtlfWKFyiTsyk4Q2mGIGd9aCc
Sz50GBYm5cd9BF1zbCG4ENv475xtpPMEtyZBh6DUZBhGyxd9n630/EUnzRrF7IX8+CPNc1Ltgm81
LHBBEPyARR4sVQqzRgyBAoX5nlpo32q+YMAcw6G7UIES6MUDoUOI69vt9xX/31/7/4ney6s/Zz7/
5//iz19LNtRJFIvZH/95Vxb493+n3/nX3zn9jX8G7+XFa/HO53/p5HfwuT/ieq/i9eQPPhWJGK4b
AO1u3nmTi++fj284/c3/6w//8f79U+4G9v7Hb69vBaAAyJ7q5KvA9PjzZ5u3P34D5EhDAwN7/38f
R/nxN6Zh/PHb1Wte/MN5f/0an//N91cu/vhNsuTfp+Nygt3gyESdBB/avf/1IyjjIxaY7bDF/V5H
o2Ut4j9+U43fMWsm0BjqORr02bFb87L58aPJmwaoDKjaon+NSshf3/HkXf18d/+gTXFVJlTwP377
Tpr4uZlNH6FMXnrTp4FlD5H+0/OO2QnMmxWs/7KVuGcptFzrKFs/ZDzTnlhR9WKjQ//kWQfAFNIG
igBZoFMgLSV0CWoiiamG0H3IUyAbpBgCPgAsDjzzxg7KLNmQRTsNFqyVH0lGI2P5cbGF401AhqF9
YkoO2au4zmNfnRQZFAXmJqAJWKj9VW43mPQibzNiXSQA/YyQR+5Utra5lWkv0aAmX8NKKbalCRH0
PA7dAkj97TDKWb4eQUJKU6etRq15VXQybjoS9fJGRfczd2Iqb9VOkQAlztonmDF6MszGnZAlV1Bt
uPnP4vhzcSB1/2RxJPQ9z1/5maWB3/traai/QzsEuDrU3mEgiS7ez6Wh/g5GhYnGqImERccl+bd/
/LU0rN/xAyiSA4CoY8ebNv6/lob5O5aTCsotLvIwTUeO8ytL4+SYJ0i1UNSEKrmC1qIOmhW++HGa
Papyz3U7g0HQAAg6mLZBqSi3XdhfHT2ZH0vyZAmeiwMlI0A4LcAg5rcu1UpyC2b3UkDNjWkEJq/Q
flu6gp8e8z8GcxRkfsyno1SpECEBDlu+IkX7pc2El1JjIWk5Pec/hJmDDOOJHNYQSQKiI3VGK/EN
5TmW93nLvCjcEDleOGVnw8LOhWcGPq8Opyjb1I3ZIY8+My9Q9ZagRQKw8kC3OAM3vNE3n7+i0zwd
m6SCwr2pQ0Cb4F6Me8HpVGhCaHDWkmoHfLyE1j+VA03bZrA6/TzM6f37Y5jZ3YOwLoPgHsIAHueW
0VdWL7ye06TkY4DZlE7yEpQXrK2gaUdHtNtG3sGz0Ol7y6vbBaDLx1dz+sxmd29CCxOsnumZqdDL
hIRaCMUo2Wrcf++ZTV/j6DJcxBmrBc7JQOYl2mqqUy2Sg2eTev7259WrvOIqHVBhCgDOhUibsbO6
dJNLJWygLSUDQKoHMzljf54cJ1nV8bZwdjIAEgx3IWx21vymXdgSNxUh24Fq8q1KpG+5pL19/uxm
WeOP+XAUY7Z8AM1KzbTEw7PTl8aKvAipsgTIaXwLxSSPFnQVju+ELszCszPjKOpsFkJhNQlLgpHV
Rf6stuG2r4xNo0avn4/u7KI9CjObgBoFqIvB3jco2AMMEEFDMpys+6ZA/OTzQEvjmU3BMQq5kRmj
DR2qu6GAiV8ZmNqSh59y9mVNTjoTRhzGAXNdAbk1c7NvWxv6XjHYBG3fDgC9RwICov1bKzJIuzRG
rvsjkIqHYcjZDYVDybhpwzZaRYq+ZcWoQEJUGty+0DVXGHnmKQmIzJ7OFX5RlZH6YNScbFlNrbVI
pP7FSGLQi7MyFONOCFmGNl4EEZLDaJcPVGsOhjzUTqSWspP30a3RCEBJIGHp2Gr8IBvVO5gy9/jK
X9s2f7YkiKCnkr6J6lz3pJhckUaP3KzS3KEZ/bbP7oEiu0gEECuRbWw1ajEodY3ct1qUs3Id+oVN
aLikai71GIXQcaxqR5bLW2FIaTAS1esHHWpZppy+wBNL8RO9iK/11oKEae/pUDpEb5Thrml+teIG
YnDxakBVAdSz3Egvuhx/GQqbUJvCU71oukF6i7QREoZK3BcbJR+lYIgs4jFhDSsYC9rvXK9rJ1Y7
aw1JpgzCmVw6wIXQ9iZLjzCxtpCRfOUKlBWzgokVSzl4UgKvzR6hmipI/ihCY43rnEvT/iKj9AIa
lfeNnu91u/XJaD0rY7MbCAcBpw1TD3hJkAS6PysA/7m/WVjxn6SosHU5k57id/5KT5XfcexDKtAG
eVGbp6fw7gC3GSoiuKGZp+npRBWBRA9oP+i5GNiWjtJTHYg6pK7w8kEqYfxKeqrYU8Xu5Oo2JchI
GyHMgvxZntLn46Mvjkw1griMFlRj/CQ3xC+VJOhy7VlhuWeUfNW1AySG8zTgGfQo83EM0r6E4qIs
QVOWHOK08Woegzgnt6ukGe4BcvxSadEqY/qVopcvcVRjpUuw1mxZoISN37XK1pLkx7AqoGrd6G8l
Ky/Q/d/XbLhmFUFBNlwJ3m1Im8dO0hD4h0jGhksUmlPSFkZgl2MR3/PYLp22y/dyRlfWYD+1ivE0
EnJXlSFKku0mRWujgAovMnDoVZF4FTeih6iogKJrl6PIZ6W3Iuqg7sS/ldC61rCc2zBHb4TZAeKP
15E1qF5UWuusTb8pCkiJjKkgTjYbyiUYPmoQ5BlNge65VA4uVSmqJmmjeVXLNl1cXCMpcKVwMD1Q
IAiYb1K4y4YxXkMC85vWSJYXmsZKNcLLUiTmdZv1XhtbkSsPhlvK0VWhWTvIU5lOTjjojBas7UDz
Ad2BS3uhkfBKxagpk55oDoHiMNpZEF/vm35HLWNl6bTzrFS+Lml5kI3iLWlQPzJAnsS24cEFGQyM
IlL20B93+7hat4PlA6l/mRZlvYr1qHTR9YgC3g1Ab0/4/FyRn3s2HOohfYHa6G0jR51bGBAnjMri
UQhyCHNo5mrRNTMlP2Uq2Mr2sK5gKOFxYoWOFWbKRomyp8yU0NFQinc4B+5zXMU3NsRunATUQ6oV
hpuG1aNCIHotZHrToVLlCh2q5nZTFj7ymeu6Y1K2Fjpt3sGlyfCycSq7TO5MyOmr0PylFdzoyl67
UoVFqlWYW7nsaz0ptJ2R4pTAGEHe1olq+opU9SHgRynPnAzdlpcMeqZQUWYPPcYPyVCUGJPKfjLh
lreyca1a6XEorbNRGI+WkV226shVFPYVqArnIcQMAfCFHavT5oYC8xuo9GVbi9C2fx4UUlySdIi1
LQo24RjIfVI9kbApKiwHSAO/S1IHOxQXU5D8aGP+Z3ueOhD//+35VvxjC6Q6P7NF4/d+btGqotrA
COKGhm14sjf6q7im/I4eB+BCJizFUIGbugI/Kgia/DtE/qd7I5AEKoy/8KO/tmj7d+CnUFZAbeFH
Se4XKghzD4LvqoVg3KE2qyOFR4XtdIcmwwgbM1mFPW4OFYXn2GjbKxhiglndqUPQls0FqQzMWYBF
XIjXX5ocwniEJCp0vBXkbPGBp8YmVNl1l5nPVWuu0XTZ58k4OpYebaq4ApWeboQyvGJL3muJdJfB
8imIpdqElKyIfV5CZh70d9CEu4EfaMmLlVkUowZ+iipDPLmybC8UEUcGp5TZDSva8kKjg5dE1G1s
7MNdNRi3dkZBOwJinIBu34gMQ5BCxiGK24EOD0GALmBmp7EdhOVzEkjUKFYWjfmh7/NrYzTDDej1
hoO63OA3sBw4AKTSfs06zm/kUNYCIen1tk+j4QKDx6HBNXKTjWW0YW1I3zo7Bvc5LKm80/8fe+e1
XLfVrNtXOS8AFcJEukVYkeRiJsUbFJOQc8bTnwH5t03JslQ6+2afXbt8YZdMai5gzdTdX49v9QRu
DHkBqSrEM4lX7aWha2pyl7CGTa0rxYuVlOUdDAzLM+W8POlBDEDj61z8rUV5Hr82ZVt+6b7PaH+T
BP9xZnwd6K9E+X+vpDeL4d9X5WXfFc/5D9Ykv/X3mgRNuFbjzK+62lWM8ueaVD/RnQSWzLQxNKEa
9PeaVO1PgIy4OBlk3QyiXlby32sS5Bz4FfqAac8hY/hb16av+bQP16Y1r4fAwdRpVKVWQrrw20WZ
NkoKnYW8Xh5Uw3yO1Ecs5/Iyl1gCqOCjY1Tz3N1VUejoLDrVz2ut9EZTnPoOOjWtybo3Ca05W1pl
es3KCWdwIZabMJa620QxCtZyOdfxFRXX8iTWeWivMxL7beq84FldOvUSM6Qdsdd2ioS6PU2x5lDL
IPrSLJXl08BjesYgrOs2Fe0uUYb4NjN6oOjgoZ/LoOduUuAwMUVXdOpN+0ppmmst63VXGu36QsvU
2TVUZLpuyjZHx9+oRrabVhmkH0Mf2l0bNOn5IKbwLFEzmuxTGWOZJPSkGcVbWmf1fpwNDXt1kXk1
rG25nSDp5Gw7Zd6RN4TDXLapP8QhjuLJcpIGEBdhml8vpXJgy/MMLTviWn4/D4Zrd4VvrwRfeprv
EPkdMr5kSPnBsQLhua0ECfw4u2D9bgZiwVi0l4md+JkWSg9JwDXcNSp1ouxQYLHazHZ1pehSdd0k
Uk+5stYMsKbSTa3Qq9ZrUCREYb4bOUFYQz29kgpX10YE6sGguCYM+D9ydr+1E/x4jX9c4v8fVr/W
wv2/bwQcz2f9a/z+z61g/b0/twL5E1GLDr2X7qZv0vvyJ4P9wRZUxhD0ofD/63BWzU9ERmt3Iw2B
sDNXT60/NwLzk8r+sTI6aZ1j8/iNo/lrXevDLsD93VLJh691AgpsyPC+3QWKQNFmq2jnbbbm9jDy
qOtzmnaJiCrNA1LqyLl6npntaRgGQPYtxdSepAiJOJg9dbcU+3TqtdSvOF9pGqSM5NJ4e7DD9jQp
3b4Qxl2t1cYxa+y6d/qmBEOnyMz6u1RPbPk6jGLadZQBjvaYBzZF2gY/iGsLyVL8Rybxt6bo/9DD
ir37J3P0Gd3Y/7kuWxKH/6jt8pt/zlLjE8gC6gcKlz70n+up9OeBZX7S6AeFCE55lOKoIDvw9yXS
tte2LGMttwum61/zlPslByCV2dVSFl0KxdvfmKlfL7Ef43xWD0Ut8gzMOpmJ/1W2/iHF3Ym6heWe
m7uCJrPXNprBXyftNBSneSzL0C2JizdjElrthoZn8RZpVueOut6nD52VLZ7dmlnxRHtmaJxVTY5A
YEnraXQa1Bf8eiogXoUoA4ghYzcvZsQsWhPvyW1jnJEVKyNohRyliHup0172U/QGlBO2SGU/tq18
McSGm4/z42gS6hm18gyhDG5/AEwqbC57nTpJVhVPU5s9WQT1CeVwNLzBXmvmqyWb2zWafTLH3HTr
NH3KZDQ7sGAmR5tbPmSc+3jeY4okPiPCulWy8qYnLjdHqACYVyxOLumXYT3ewxOwd1pSnhehIKdn
ZKepk9/LRTlva4lqMA715NLtLcS4WylVvagb3g1jeaAN+SKPsW9OZutIa8uNLNUJXhXy4Kot7oEA
gz+bMsL3KBAHqcECAF+ibpmvQRHB1zGkzRIA/G8Nb5wkb0aH1Jej08omgGFDeefCc5Mn7bnNyeUW
WnCbz9gohNotgKPtYFtOVhinICy2S7XeAeJDo+X7ZU4vKz3lb5hVvBJj9VhJONGUqm8Zy53WFJhv
2BZ462EkvY2Pomz7PALCzfyY9uxKdCNmxNyaUtzmcXdUk+x2mgvC2kDys1E511vdizuAKb1xq014
3jbNpWkDfS5TGv+aS43SeN02B+KuLfeU1DUwtw7VZqs1YnCEPB7UPugcrnN4+NjHXBJfmoxc0DhH
OB6IEDTb8pZYdFGnFVYwSS0kR62Ly4UwCfG2dCOZ2SkzhptME8eWDlVvyYJdEoz3+chPmRHGz2EY
e3GTBpdNrJmuqPguclErjpEb4r3ArxpzBaNVrzh/ptdyyUhs48+XkmIt4b7ZUvHeLFOoQVvQrUtT
0ttzbLeas14lL/P74cD/zEvAT1Ood0VcFv/cW+0POVSVHKrFzR2iN9KXj1srxX9q+6TeyKHCffp2
a0WwTejGL/ADX7Orf14B7E9s1ChluCOYtDOrv7OzgtHhkP9wCSALSy6WegqxiOAffc2wfthZ+0VN
sWaZs90sm4U3yuFGWn2zluxZT8PXdCajmNQjV1x8YYYiaECBsKqzuDnocfHSgF/DCOvQkPQbqvIs
GcVGNyZvKnSM1tJ9n01O1wEmGU1nAaBCGQES/lWr3VamfQzzbGcV1W0UZnSfWce57V1Znp1JtFsD
z6hJXTayZm3U1vJ7IaNg747ymkvtnL7cq9zMmdJea+lOWRzR1x3kKLutOqnAs0895MI+jWwOaa/5
Ro3hqC6dk1bchhg59UPsp9j0RONhrBU/Mru9sTRuh89KX9sGFlt3cpOQv52VbZuNj32n7HTrMBYR
gATzVgoaDyYIHmJvVXDV018SB9kxgzdnsTVYpB/HvNnqxr2J8w3YS6c2JUfvpF075pg5NTd0i22Q
WzgyKVpycPuRqmOkKk4Jrz+oTV4yKJFKHIt8cMf+JV7wW6Pdv+s3kzypDqIud1RoKkfLl0XxvVIl
brvYp3IScKgDzw4vEwugI82CwL7Lpd7RcnNhySCXNRv+o9RuuAQoGzMZZi+a6bAiKJh13c94AWm/
cHKB7hPApZIXozcdMX/uTSxr53SbtRqMQlwRVdVjP9qGBRW04ULY/V6CcDIM8nGSnsiu+EG+uOqY
gMAr9nPBvzWcDmFJrQ+3Izi+aAsMoQJjM0s3gRa6ZBjhhUY3aSbcIup9Je3wUdTGfUb+ngKcdGWH
ic87uE4mvSSRkliPWVIulROZVn5B3lT4XTCkqm/25X3fANoz4Z37CJyXbRNCcxwy6JOqGW3LCJt3
ulLeRaN5fcIuziFf+WhxfG0JrrXKcIKp8sto2hlL8pTp8yvoH9x7bMyq9KShwjdSJeaID+Z+FwXN
XpuM80qv4eeQmrUp/0kaZ3N4m3RgkWUqr2PsR/lRJSFrTMm50lB/WCJv6qr3YsKvKKLOLPOU9l3W
IR2b6tM4thtYKq4Exo6p43Rhxxm3PNZFtilG4RAXumtFDKmap5slywy3nrHDoKs77zAZEnJ8kPTp
RKFzN2IARa/3RROkD1oKV7TAqXkisU6MmYdnI/NkphSY2ws0y3wbjdpnM4s3RKq+rEXOqF0YNBwG
zTUFOn/RLuuGaSk1rjW9hi2Wxj35grxx8+rVxFpFg+3ZZLQZdHdzSLa9ftfl8rYiBqjr2u1a3Zds
yRO9ejK75FHH6bKTSpdEqN9l5PU1C7Rgn226PneBCYIyTM+0LDzTZRJvWvTU4B+10NRbY9QIr9Uz
1Rt1vIvArwv7Mkobtw0AtYZXi1me6TVGd/o5TUbH3LjqGo7/vIvwmSx8WpqySPcNsFaLclOw4Izh
taHUS13rCCqQudu74aKcUu3Fwsiy6JrNWL3Syerb7IBDe8ir2tX6AVsRKE82/mdshmNXuHhPfV4y
Y4ddrRnLG2uYbw0GDebdIMzToEl+IMEkmr80enammcU5yX/HwonTnDBexdkxbvtNGo3PWoQQOVTY
YbGTw8/LSGtvghNa6C9tiPcUXopFdKcZD2PbnKTM3ilWcP+/x/pX8d5qmv7vcdN9mUEE/UHQtP7a
n0GT/AkRnkW+blXK/pHK+zNoWjPvyKVMg4y3WNnofwVNZPkEZS80q2IFl6NV/itoUi20e2TrZRlp
PfXM38vy/YHk+OZot0jurx3qpBUVBmKkj0d7OBpa0es43YZcfWUJ6v4tpaQg3fUTOjinSAFguqJt
ahwSUYe3HtDSprpdsIa7EVoIPytoJbayiqUOmzaAYa23xEE7I0zsS3lIyNSX+uxJQG+kcLEjtvBa
nh7SaJ7f+5pIKE0w83JUVbkBBNE5RpIprjWY3XRW9mrbuHXZADqaQqsOz6cqciPzNiF6awtxaJv5
kMDnVWVpQ2MDifMgeAZqisJpadTlvM/xN8c3sm4vSxA4Xm8qKLyj5X1qc+utAMG/y6NJxo247G/z
XKEiiBTd7boBNrvoSFB2MuQPvcBjdm7hBQAC8xSM9UCHAGOW9aPU169dHwKy5i7m5qbyrMW4yOEy
Urh0fKr+FA2qH01pcshqiqcJwv4NgMunxlqWnUJwdjRKLACnyRhJW9JBo2MKmI79Vo2NN0CwI0dA
fB7HyUuuZMbNZA6vsTJKrrJwWuZgQp06gk6S64J6tBS+JRNaIWmqnU4LzrpFLdy86WdHl8Mt8o0b
fAa+1IPlDzWVgmrkyiAtI2jUbqn8eexDqrv6DZZ+gxsPzSEmTTiJ8Co1wue5GipHwIsjartXQ6ws
cTaO3WKZK6eisOxAnb8DhPVsq+XDFC6vcydCJMOZp1n14maF/DR1YHXwf7tsoS03CLwd3po/ifQc
mQrGrBBZ3SmbT1lGRdawogMEzcGLUOS3UXMcZrmmrG1tA0vZa7Wy1yX7BJX0OREGqhXQB20/FLyJ
WPIQAai7qg3GftNVDTNwAGuNJaLl6wC4OdULP8+0Y4n9QGE2V41djLuq0hE+wfWWLRwBMmvZg1fB
E4FZ6USdhaZRvUan91QvGe2RmB/HiQKhAumrb+scHVP7EgGbwTITn0RjqHtPlgReTjhVwt1tHihX
74TBh1G06hRFA4iuhNuu3S+B3/CBIZlLL4PAPFZPHuZmnB2h0ApKcX0+DyVJbFtZTjxVL7q3asAN
1dDvJCUAUFscceUrnMo0E8ds5Euc9MTeliViytiy3EEslbsMUuAvtF1yTjd3/TiK86mfbXy3Idc2
mHyOvX6GXD11ZWpwjtGwEjV9PoyzulmgIu3/98T448T4aabt4TkFH/qjE+NDmk184svmQCAw/yr3
Zkf+88QQHCbmN3v/hzSbhgkDCnF8bHTSdIRwH2JB2iC+hnBrlo4Wm99Is/0jFDTI8wEfRuW79mSv
kerH8wIPeHCUNHXtbPXLAr4P99sPZ+gPZN7faW+59347AG/m4wCllY4i1RkgaVHi6Y6t506E2WfW
LI4SVt7PR1v/tm+Ov+9GWz/Nh8hW1pNWSkep2+X5DeBUN6dvw5jeJdwjfz7Qr97b9+dsZSwCHHu/
i6WLDifm9Pdgw0jKTbKvNCQb1BNlsvXfxehlLKbIsnmSIOmuMrwAnEAKfuVs8o/X9XUQqAwUHIT2
td3mm9eVzc3Q0vW501WX7Klv6fimg05erPufv65/zIJ1IDp7sNEyqEJ+r+od8ZxfrBkb0t6+aZaz
BGtQ66lScOQtTP/nQ/3wmZjOlF5IwVCB+XYKkJE1pSWQu51hRBJ52eSi1cqHgOQEEeSviFrfwXn/
8zX9PdpX9eqHCRcaQZqP+dLtImvygcJe9NiLK1hxI2klGJ3iQ6qbnt6pR6GbByCONzDGdrUU3FrJ
uHgpULI/knL/KqBeV+w3S4BXTc/PejlFx/cPuzxTjmJB+MF3GrykKFv1nfkf6eS/DvGPyf/dEOv/
//DQ9mKOnDg8tFxdosdF97n8Ynn96EtciwmyjIeXRr3h2xGkqRymeqn4Em19AxHLhYF0ZiXLFU0p
f+hAf+9hPgy1fpQPDxM2k2I2Rd3txqI6tmPhT6X5C6X0j5+G+UgLqEoNnprJxyGUcEKdEhbdzpZe
lOp+waHawPss/FVTwI9W2QoE/HOc776XtYbSlymP0oyTE1MYjrkLosFTjBdl+QX/6FfP9N1OO5TB
0qkyz0Th6LrN2rt5JGCd1KMyJ5yYf4VhPzhC1hX7/YwWtN7T8ELsxZT49vXVCH/MKoz6HY+WUpXp
wPo113kwOkpBojArUSvmrmik3c/H/dE0/zjud68zN/JszCy2YJmmUhR6zrTc/b+MAONiRaOiqP1u
r+rKOczGxGb3SIsLO8fFarHNXwHEf/wYfw3yPVWslMweXB6D5NXb2J7Sfv9fegjzu69nJgqMQ4u/
38gAZbPFts3nn4/w4wmwWiKj9xWm9t1rqoJKC1PBCEEdsXKeE+KO1ALNXQo8Q0YcfnBA0xPv56P+
+L39NapQv512ZmVquV4yqqmmJ2uoNCcI9V/t1t+3N3w95wX4+P88m/hub5CjVsWzkElWtyTB470u
yKBGgzdJX6KBJA+5pDbYtnn6i26UH75T9IArOcACr/7duCb3F6WiurWTMHcxIHnW5p0u8K/35CGm
cL+vxl/wA344IolXVH2gqZGJf/s+uUkHU6Ov8+SuvJdCL4aeDR5bdmXpAEz951/eLwb7/lxe2iqU
rInBsJSnPFrs4n1xXSp4H7nprzzxVP1HZ65AuMFpy4X3Hx6bmt6Q+ckYrUF2FMuFG+eql1sPih06
XSXtItRGVvPFbg79gDufdZ6nJmx2XjrpFPAp12GX78kkmBQEuR7NTLMkfBrT1Ou73A0KzekxEptz
hWIs1cdUdhP7Xi4CJ+rXdHly3ulPQ3zd87Wl7ZWWPMZ5BdPv1Jb23qCSKob7Fn2hgegyVon4M7da
ou0gco/kNM5cqJ9rzbHmK1s+xjHFjUtLOikTt/TwVi9veyy+Klqls1c9jF1bJZov7KMRLocOgaWJ
gTZiT2/A1cfKD1NYORYu3VH61iLZ1qXkVMBesuYa41ky4f3lXFwl82loMZkedUfuBt9oF4fV5s0L
RVajd7Vudsuh92cTFVdFGSF+kZfFr+a3JhKOVEtb9DXbOLZdfFu8Qss2NTngrHyb4pdOmu6AeNN7
9zTWlPkzPrGlY/xTeHIGfUGr6dK+aNMaUn/mdAbJZMyEA9EebLU+jKLyAWC7Vmfc0+DjhV14xOjd
ZlVq6VuxvEzRGWh1ZwneS96PBkhkyPOtlmItjStO0l+Jin6/viPjcBIAZ4tgcQNDQVRmbVV1OOum
O43XodGJuGC8Eo3iYuYlqmPhrLnuXrsXmDalAOubBYcBbD4y47oV43lFgkjL9muvn1Vea9Dv5+nK
mkuvzSRPUx+C5B79mDPKCkfi4ibxWyrftnPlyVbjmUNJpXkCgg8LvpC9Rn9fgseufzHyZlPlIyI1
3eVisW2UU0YBIrAu1Opaa0uU/DiqVLM3253zVQ2g4KhW8mdI0xYMnyqyc6k8ng+55Seg7mFBunwF
m0Qi56Ql3lAV25y2sF66Kkfda6Dfh2a0scqbmjJPrcxOon0eaZvQq8rrSIjnKB+mYnFLcRcIC9AI
8npy5VNkuJb6HBef5fpuGa5VrXNEeVp1fJJyy0Ud5i+yCfQdgipOEV/ZwdtoZLjM4WSQgwNN3mM7
8stGcYdGXp+rfJC6X20F3+E3/ogHEM5QYaXjRSCs+XaTi9QKNBxI/J0e+nHrWLFLuvC0yNvJNx6r
hs3nF6cUyLQf7XUrdxqwFDV88ZUx+OEGayap6JB9dbtFVUcnlIubLL3KyA1lU4RgmvNEuzcLsUcv
vtUxARDTsBnCcgM6wVvq4oSm+g5BseEMTbbRs753hNo4alhsTEnZx9XyVa9h2+MGiJrTj5orRTRS
iCe1kN2stYEyv2U51r7VPkfvSdqtVR/BFWzVtNiROaNPgkpxrnhzfexbqLYid5WYOdQEbexGhrgd
hrd4oAKaVexR8dHOGUcqx41mUErqKXu9NACXRLZc5AFHflCeNRgsGF+sVHJWdNBkZit1wZ9aNDQ9
yh3w+ZqY9lMMey1VPBwurpTys53gpwMNUB4kp0hwSCUdmt9A0d5M8bU2BzSQ3DTi2MiYCaVvMcll
Q0ULS++cuFXiyLNs1W+M9sysHzuTHw55le+hDVSazDq2H4EmrxVVt8Q1qmzl22CO/DikONUU24nj
fTBjj7jNT4PyOjZMf1CqfZfWm64oX5XGvMowpBrR3KE4fdKsYRe05h7NMLvA8FLX0b41zJORgnUz
JM3Vl/4AFGrHtD8ZfXQ9plHt6OXIEklODQ2Dc9k+zJ35lGvmXgXwNxJvOyJQz6MwOdfXWKown8oW
+wytUJmZkrRHWrrmB3EhozQWa8+qdZ1hUBGo+GPgsCRXVGzRpMjiPCLCaDDHW4xtwLYlicc4JA5U
2Rgv8vK5kLGendHJ195YpV7RTV5blpSDn2flKe1kRxotTw/0q7BKqb6JrbE8F/nzpDym2jX0DCpj
vm69zNnVJAX8QeJqbbtDVQF5PHSj/I56ulFctOJIShn3s7cpeizVjkajxtWiL3qYHkvrNq4p0g+4
+EU004SXlhYckuSAit4bmxn9QIxoNkEsex4s9/ZIzVM5yYKTWvJLnqROWMK6vOnQLywRaPFH07oM
8E/MoY935XsONkgKaQ2VPydiPCzWqaDVe1UfUZaMrAfZvJVx0MPdwcTCZc09WOKzaOm6IfM+29e0
8bgLxzsFxrK9l21kUfrkYb2yVZb7Sj0zgqu0H/zSMN2IIm0fn6cNcDNNRYnxZSbbbkktXiPCVene
6ZP7tnkb8minNe+qkI6WHm6HWfNpr7AmSjnLRqdLdWpxCly2WXTqlppPPrmQGbBau5/H3UCBXR++
JMlNbjakz/etbgNF6Zylu0lDDmTlM7asEHXgFmUPc/K4tM9aN6IXINCc7gFa42Cm4SZ5NWv3i3Yn
rY1IeeNIhu0mE3Vua13dVF1W68kI7dfZiLDDjvPNADWhJSfYApmwOuHacuPMbAGV2nllXHr92HjL
kB8lEKxV1TmDuO/l23raK/nOCmSn1y+NMYDhxKXHKF1hJTSIvZTS56SlUsEqzwzZqyn/q1g89slV
02uOMpd40M1cy7iuGO0xtmR31mzH4I5C/xcNbNskTbYp6Y0myl2Do6JelWzpOXi0KbWdUOcx1P4+
LFW3snJvBA7TNxvic1oBl7uuQzXeTtukflbT0pu16yQ5p/8rVJ7muNiFWufLGLOArvaq6NQifGnY
80SJRbuNTOVpwDevz64WXk0uVa4pqCpUp4qAvpOeVPUuNTtP19JtKPYlBewyY8ffG4XipgYV4uPE
yVMtl1X4FFPCjihUd/mm7bAVw2zGrt+0anJXt9Gh9MeeNx4nrt4xNY3cS0PFV8Rpbi9n84uZvGRT
53TJ01jIflawGZsv3Rz6xvhE7cWRmtS3+lPJ7TJLX+pGvekaXER7xP/6si2i5Qw8t7M0mmtg0Rq2
6jZSmm3HTXbiNMxm3cPjbyOS6rbsMNXhLFGyHYKkqXi20htrmr0EspkImUJrZyeaCLkdj8uob6Yg
8uRVtDz0roEWos/HTVC/zbnqoiro09mtzBqHtBEJHVq/zEFXhd0oFpBTsOMNddY5+9isBZus5C6V
0Ho5xlu790VXAXVWvME2fbQBGwwgNyUtyAj1xuGiR9xhzs95dcClczMvo99Jd3Z+WpTLyLpCxe/2
0nTM+vRcDgc3lPft/Go2ndvkzyp01Wm8mrrHYrzKWH9N/SxhGF4HuafnL4N63+UPRntQIsQO7VeV
I9VJcyOXmUM7ZIngcILYU7BW8+Iw4u4K3XSPFyseQ7k7Lxcqt6CcGpTBrUpvmk2HkGtALVHEKvd+
yYFVtumGeKMgRxjb5MwwaropZlfNXzgBHJXjJ2m4YmcuFrCbKLg2kYfq0eVUJV4fnxqETBIReMrB
SJuUDLwsi8/GdjtKqzkCazYU7rDQT2GUOLcSL0scz2V5krXsKsBjSUmGTSPel4W/g1W51CF61Wfd
vmx0NkcZ/qx6ylO+8jzyI/0IPozKsYuhlRMptd/Kj0n6TF/wTScw38QbL57q1yBtbsz6XB73rdpT
6/O0IbxJrMMy6ZcVjpgkBnRfE811wNU30Ts/ROJVD/d8u04XnKbxTG+uJIKetH0OrZtx2g997ose
SRdXAA5HtQncdCxoiwXN3MCj08569o1Csi6aBbSfcja39/WCrMm8U4bZz8ubRaNjbTjYIwU5inWB
dFnEJvvgixV/sVlt3cCVSpGPFhLeKQUtzWm94F5h5MeWG09VXxjJzG70RVbajR5uushyJGRokX2/
1JfBdKbHArdRpFrhSzq9tokM9CkEoIgCdm42aJQbffDNCNFvkXs14UWW082qIppByyT3JbXZU0oT
/8zr7QJ6+yXy/k3sy+HrhCFvody0y1lPwKFHp5p9kXOiUk1nNl/bgTuTpHm5vnhWfDVgG1znmjMK
kNxC22tK4Cf89Lw8duKI2bPQSM3gvRzzh7J5OYaPaf46kABN1H0+XajD6NEu14xXixz5ZkmLIMbj
bWreNX2SJ3zmR72IUMrabg/oJF6lwbiBYSHtDKywaldpOpc0ZbMkuResLbvyM/UMX14AXhFHldi2
5dqVyqUhi6tt1eWeifLamGh9CB5Efyby9zA/j+tTiTq2QA9h0qidptGFWZaEIINrD7JLNyxSpeFc
CVL8VXkQ2sCtoMahHM04GD++U/Z6irmW4Rly4DRtuR9ZLIv1Ws0ClZqHrxIfza/00CUHbPX4e9yJ
RRBB4RuffMnD4JLLeJ8/oFqgDYu9eb7sbDywK1aTNLpp+qZX46bjDBt5LMWq8EiNvD4tjzq6xJEm
IkO+UxSVe63Et+vHarAvG/xZDJybkQX26UTBnKdehcoAiiS2yRJyWDlP9EbJW3rTYGRkF5QOkC5L
brNalo/jo6UOD0JD580e2VnvevmFvqgG+z0BQ5MwVfN1CnmDTPQqzT4oN6/kZLGqmbg+PBtIX9Et
5sWT7aU636EuNlmQcIF7j3BSnpR5QxnU5SYP+geJ0+dM3DT1DePZwxPqfSdP1A3iRreZe9dGpZZO
1k3c3hT9fVybb9pEfF/2Z4EWbZc0fs/Vz3nSuan+CHKJfk2xrymvTPwUGnkn5W4o5tvVbmuaT9zl
uuCytnJ0oxwe5knhOlgwAXNDOXb1LcZRbJOuZg/OqGv+UpRni5L5a64AEQr1iMRbUsMPy3czXxxZ
NfEfr3ZNi+YNa/N5N8khxx7ytuB6rspDbC27pM52Zpq4HNlCaXxDLrC4S48t51MUhlubDuuwfAiD
Ytu0eOgajh0e5UUcRD1dLBFKtsxFf7FpOdoHZU1RYIIzwOSgitrWL8ZAaF9rqOV5f9U2KJuDUBc0
PMUGDUkWXozF3WyyQ37WFuNgDN1mHN9XTa/NfawtLTftYQ3osTNE6k6aLqPEdILyrZ2vpRIlTlTt
hojGWmB3ORcBg4a5qvQsBDytGu/CzCRpo7FRlns6IbfFAkpvMDfBSAqFybHgnJsR+un8t52e24pY
u9u93tjHieyasfD0Ae/qi3aZ3Qg0nc3GJ6FakYELlLO+izrDC4zk1KrtPhzKbWvSHiCvnt9+KWV+
V5gu9HfXMrYll60mvwzpvrCa21x7psnXNdXkQFggzy9VlB4Gad9y2xN9jrXgo4lbdF9+0e13aok7
Ol8vg2A5qzTfLs6C4G7GJ1stpTOBK2NhWriD78r6Bc20NwZnU4qlvXIa5MU1801P56FlRAQMALeL
8wmaFfYGICY4kWmLAltgzneWgtyxeptwPsS3uS7Oa355shuvmxFrpPc5KRANl/no3tAQdmKV1ree
3pdkpXRvxc7Eq+jRPMnckVuCic5EmYRe026xse6WTY/CdNaVnUFGThov1cD00vhRUR6bstkjX/Pr
DAl0I7sBqpggUW6X5i6QZ65R0WVlW7vYYCEirCmWm5ItoIvOUL3cZ2wZUbtcG+oFzvJOOlzREYnZ
defgTMbuH3hVrKPkfW6mh0VcROT/woS7GZnKLjf2RWBvbO4oaRtfRrOOsV7l2X3hFsRNQBwR6BAT
154wuIixUltTdSV8yJWSM0FO3YwQMqI30o4/G9WF0IeDll8JKzzU4YT7+oUenEnc9IX2jgzbmVXj
sKAehrfjRUG1sfXKNTCZ1DtrQ33uqNfp7dxqG4nunga3rhhtr9QqeLzjOGHX/oRKqOdAhFPBxUr/
nBJsB+UtEG+naBVvQlXVV8kmHu7rgMNwuMlFZQbUdyeTu1MxDVcjnTGf2zzvlUMYDOaUuT14n+Mi
1mfpq7Ootc/oeN0EvXaABXJbmNpe1qSzBNE2sciy0wYp3jcIWLVYczNJulThUgkYO16ktherKWfT
I5IaxL7oUt/IoMgX+Wb6v+ydyXLbWpKGX8VReyqIGVh0RbRGarAsWZPtDQOSKAIECJAYOD19fcnB
EkG066oOIwpV0bvrK+kQSJ6c//wzH5+YdvQc93PKCtG1p4+O07bTMZnPoS3Yg1riTbNn1gk8S09O
AGphobeSk0FIjjEbJLdlNznte8VpNjUvup7UoLUuJenwCkDcee44jAuML52JeVkMF2f20Drr595l
5pXHEOd23DB4Dkb5RQzoOWVgJp4UDwnh0Kw/7RhaegpK8MaLgeURvg/m4amnT270VnTm2PmZoQXX
JSu+Y439qQaLXKLS+Q4L8Enand4Vo/jc0sLnyBydt4O0A4z/Epr1V2NSMP0W3ydWRJq+uGZi6hfJ
w/kkXnwdgIu1qDAwv8/OyP7Pbst6dQFOHyVheaENxhetbmIfTadWZ2BoD9M4ejDz1rdZNz8ug+AG
DuLTEfQmrdK5nWvmdcbG1XDYZZh2EZunUZbQx/fu52lw3O1278KSZRZD5nPCWfcpTgGJa5o2f4Tu
a4AL0m5pKf/wvNmdNRhfjtrJrR6Zj2GQX41n3k00XTwywPatleUP5miM1yeyZb78GOpFnNXAHp3p
Q1bwhQGomWhBqowZurFz9z6IZbwstGZYuYn31R4ZGVtOicWtlC3t2jh59mZTsPWtmNYH0RmVX/vJ
W0wWxxZEYAuLJaleZIYMdJFfDz0vZrt5Njtuz5LBObaTNJ8VlBCOFDfhPPo5GUffSzu9TILZ+bJP
86khzf/OESIa4r+b3MLVu8Wi++THRe0MEX+1gRpbB0wHQe5B2V1bjVP+Bo7ZBwZQGs2izAxMzQM0
/AE45nlAbcAhwwzJphV+tAaOCf+H7ekCKlsObjJ69AngGHSglLK32vIw5DKxrAE3YaEnVKHbpW7D
olJvpK7WSReJPb1sh9HP6XReXsxH5el4NKWIMT2mygK6cmCeMDt/lXatk7GuP84Ch3aQdd/2RsdO
HMBXAYX2WTZqvZkpbS6z0G+7ST7sDFuTKbRCE7/vhJDhT7PrKRUYGN4uSs970UtmekatQEiXjsu2
+8OcGVQVFriFaBi2KLYOB0dhSJQKEJM8dNq9ZO6BK2xelBkO0/YmV+NuBlbCOPfifHhYJNE1+ct5
ZEyvFq0A5MSs/2aOpf2Eg2TuJzppt9KHqQ4HQcsIr1rJsAOQ1znuW0xhdCWVGhtvzjS69abGWwGj
hDkcjCj4Lu6Gc/2+bAWHaZCexu74lxvMT51s+N2ECeSobZGNDhed4aR8Cid9oNTu5dDwOu2u+WyN
Z3TG2rPeMNYu4oVxSbpxAXfVj6Q1SI9mXTc5IrX42RrlnVRv/era4yevTxUrKcfXTja/MUocW7dg
77Jpx7f9rP8E6Ox+NKJt1Jp3b/IoepqTWNKwoP030s7aHjSSVmZMacNQLZ4kOdVLGbfxguTJGMFJ
1x9eMr82POwXxXz+tGhZQX5a9LmlV8ZEz8iHKUPrpyWMbhQ8B1rLoqRmh93WJZsPJ4OfeWJHZxkV
ANcfBaM4OxmFqQu+dmF5i06QjNvt41YeLcZHNsuEnP83NtoKporu/cnY5EGY9OsNDn/5bnAEOMa6
ccNaDTe8I1WtA5YMCF03wFN+RazK+0C4kPcCL4GMSNP5z48Gh06Y6TANC0xVs91P2RuhsduxNw4R
Kvvq4A/HKm7bm5GZkJ8Pcr0Tm1NaCvB6HCWpeaqlJbzWw/PYK6fHoyw6N6J+eRKXbDBPo+JhCH3Z
ucOuUOaGXKLnUAPyHxXZodMa/IDK65tRsn89dBbhuUM2c5LbCfUeh7ymT1XqNpmYgPhb7YzlnId5
X3fLy2nWny4O2R7gno3cwM1/aoXBmFt/PGfcLJg5Wn4eDezoeK5Npxfj+Sh+yL3BdbtfEk5GBXSG
lnWXOiC5x3o5Y6e4Zve/t/OhfjpNp/ZxDJXKLYvR7bdML7AtdkLI4ULoPmcumRQ5vclabMBOhlQC
J+FCB2hIS29KITq3pydBKvxK1M10t/VKCWNx2O1SyqWvMOpqD4vM8kdJ/7IV2KdWRjlUS7Q3u7Tu
GWp+RKF/uUV0aaLlM52ZsWBKq3DkvLotg3apbAk0ZtQe2kXLPhyTr2YYj8HCZRQDa5LOtft+v/to
YWb0GTydjgXawsYEOYv0ejRYMPuOcTIj71d/nHeg3v3JjWKaQexYvjB+wGF5YXW1yxhDN3HLHknv
4jAf68/DsdsZYBKNwrqNZ+lLial0B/PHfkwt18aIOhhTKy9+mWXCUgP9nlPuDLG8MyfyXUxxMhve
5phmoP+TI1MffA/Eag+8qMPE/FWqM+/PatSHAAM/FEtvZlSemBxheQ4b6N3+5GqUGOeTkXnVBTvC
xvs5Xa7Jo4UDKVMo9rIJi9twLYHrXgbia0YLakx5Kgl50mX1wKDdv5i6C1KMsPXDy8wzExKOozJx
XmY4szRmNzvOLS2hwR7h7vRJxqSheEBwo7f9Vh9yeJxjAiPVmbFwYIzHcUa2cw+lJxJoPxoyXtcv
rgIcbRCH8SkN8+MRLngcFaepPSovirH+DThJvGo+/wdEb+tHrF2CsNrSsF6RsNwAcJ+eVNco/KVf
2sRH8jG7B60jur+2VcHALm6Z6OV5y70Ofzwn9tn/UL6yeYEpMg/7a0DYQFSow672ty8Mr/bXP265
DJ23YVIXzgwhhZMBND7xg6R2X2F3pcS/9jt/fAXSMFZY/GHBxOdFAXeJZppAXT0dHPVyin5LFGyf
wCUxhSfBMEN1YPf+/aLYogzQ2sbqoVZA5d837J/cCL7y9wvhHkAVZOF02YohXznAkC0p6AemC3uL
jvtlumPptf/9UuCtdy4Erl5RN5wDMiFhNSAfsYVbqSIKjWQKdgXIjwyA9hAjNuFC1ImCqEZdFDZk
u0IxgTSWeVvlVjA7BMWUcMGROsrITyNvxb+kH4j0g4JAa2mRBlu2AZ2GwZqvyq3QDwwWIMO4IVMp
luM29VYIplrtVpD8Yw3Z66GbVA0kFt82FcaBSSqBZrCj0MGNrDSygb6jWlb5vO+A3MrgWjCKxHz0
it+6oh8Wq7GhSKPyAqRXQPnN1A+SMLVLIcPnLHpxIdFGBUQalVvRPhB+bfbNkP1py+H0hopC2WpK
cUwQlIatM2ZCTQ2Nq9wKDCoWBCoy2Vklg/XNvBXKvhRRaK6lU6V2l9+5OIgtUViMrTKVBdJ9TW/Y
TEFUayKfthRiM02LapauWwY1VVaOVQXRNkUKLBPb1FobKQpT2WgiCjylkP5J6cWGRboiCsgvLNsh
3LA9ocFtrP8wlEWh2wcQH7I0jjW+bEnQhB1kSz1QH2ZB0CDGdgkpGhtfrZOiz+Uf2/EVi8cM13Vl
etJe8gvviIICIHv+dJYrLamPm2o0Vz5eRRRsLoQWxoHuDScii90qopDknNEndro1NzG3lH2H8Fmz
O8TCSrgmzXShsd1SDuvAaBNyk5yvAgruUzNNZpUG+NPeg+DKhUGVcV/ISQi9ZWhsSxQkH6TmDACy
p31JwNpUUawSRBXlgMGYrbS8LioAEbn0CLZEQXZOimbLdqflpWlqHia8BVxXFVFQxIPJmXdlDQob
zqr6ISRSdMLomFgr6uhmasdKbVXkgBc1GYqkOEeGweuSzFSuBBvCZf8kdbJ1x6mZothH6kEKRtEK
WktLHEQ1ttLxspQ7LYi9mhxwW+qXgnoNjDassWGT+HJdQeVSsB6V20LplKR0SYbeVJOpnpojCnJR
Ex3QdYbDZTHEln4YRKFt+GUtHW5rb3lpGqkf0ipWNJlCjU/OTUBB95d4ctdUcCtwLphTycwb2/eQ
mFBNFJKR4htkqzbZudS5K7di6WhJxOiNrNYFNFRBbPXwioo/DoTeB4UI6nk7oqD5AVkya5DYhbnc
nNBQUUhcqHwrZPxXiPKBhZk4icqt0BEVpATojgHNCDeooaIw1dMwmDZ5Q8rc0heDHKiqIBoYOCrd
NoQrK27uhopCCixqt0JSMalNGZCBrhKMyq3QWPJAFKqtOh+NLVNY6qbCOwBBSK2Gsg3Qod02kElM
bkB+13SrKdQ9apdCHIiBraBYR5kOWGk1E0MUDgT1mqkZm1iUT2xeH0h2yimLgjIFKEJhoyHT8KS0
9RFOYR5Q+yXqbkPa2+Tildg4NVFQ0hSIAKg/Nk8JeKQqCu0AYIlJFYNEpdG+dB/VXSRA+88l1KRH
6O46EKlvQ7NhLXfcNLYPtK7AK6To2Iq2TkEGxCfFGSlIVBSEApbRdnAvshEIyEVTe8aWctxNLY8U
xCUZo4AFzgTO1W1bgSi4L9T44Ph2hRh8qZINNJvqYYVzIPtDUBJANCAG2Oa8LQqNphllG8YCsJ5S
12yoKGQriqLZdJZ73mBopQHIKISsc9vyIPSUuTUULBDHeoKjkc5U7L2yKAinaQxiMhkJYX6zIgrW
3thsmXLAUwgOR2pcjRSFvY+4AvIn1gPQ/WNtBBejIgpLlgD+poNubLXCVc5LyUBscIfwWBNBCeyu
IgjpGRNQWB7F//WWpGbeCeUAC1dKF8gCdyShNSk6t2zLUlgHAuJEGg0PsCRIVrMUiAI0EUk4fWGq
/nWWgvvAZaH+67D5r7H+Yx35KQRY0iEkugKm3MZTQtVcuRTUKugNgsWDz3c5kNNUm7mPqFtSTu4E
pTzcxK4kXOCZFG3gEF/DvZtpKZRjCtQDWwn+DKLUFXi9cikMWqUkYrYGgFcg3SuFbF6kaSu7D8k/
CB+BWAkuj7SzGmnSAsFC0P/g7jQZvStgW2WjiRQck3AbCmx6gdWYwsRUyOQH0w6rba4NNRXOKjFS
MJrcChusEfpBbOHIZoSKgpB/0FUW3BH0/6vNGc20FeqpGMVuE9YmdkaSl9aUbaRxrNEt3WyqaqYc
lK/E0o8y69CmFyrdj508TJOlXYzLr8xIc23mzu7xz4OOyM4ZtRWMGTBm2d1c0Q5wnNIQoNy5Cq6a
6j7kwdVsJtmHcCdQo6CKx0JBYY3firllRys9MXypzAst97Q3UkHWdTUFm6mD2KbhRQkP9+DIbtmK
KICs0kxdVzEam5GuH0xFENT0qeEZ756yIggsBeE23SIcbYPxV1J/VNMO3KgDdJ2Im/n8pX+oSMKW
gg2aQQ9dIBeNbQ86ysGVDmiCcIFFW3BKmJRtqhEFUzAw9wFJAlCANWnulJh6REGdm5aHsXzLnbkP
GsbA/2kPGnqjYcyucpuUiAJUFaMMdD9WOIKKdhBkAjHAjVLlXhavGhpvsylc0VCIKOicM+PC1GAb
op9qx1iXUWx8LLUrli40twskjQplm8l3LcvZUQAW+u0MwTgHFHEIxBmUkRJvc3uDykVubgX7igi1
mZPcJJzV4ErQBRQ9qVQ0+FZIqUn5VhBQcfdREgpUu5Aj44BiJjHHega/sZ5UBpnUREHI3Wb+BWoe
Uu8l/GrHbErtlxlK0Jz4VK2p2Ye3D1uhkVxID4hKhW23edUtBTFxpszBGNR06Ak0tyEmQ49qt0JC
TSnQEVfz3ZOhV5sfMlBHu5iizQqd2NhboRxqiiiA2AA3AiIAP8lOm9Si+isds/UM2WcgFX+hBPyb
8+YoCOPXJSVO2MuXjCMrIph/+gub2ZfdAz6Seiy5TbZ+VThyVoevuD/k33/3X4fwVoV5kYUvhb4E
mX346QZ0tvyo9d+v33H307c+bPNim//ZCXuZn70E8+UP5usnvfaHkOr8b+y/BKW/y0ki7BPvT/M/
f9t+2A868afTD/2ol23OeSfAEeqyPZw935zy4WQaEOonZ/7rW5q9bo76cDwuYg/H9yZ+7elY3T2c
zoqb2tMxZMqnH/lxkJbJ5qQPksE2qJ8e+FmcFkVvc9aH88nt1M8Pi6zMNwe9H26SMKkfHvs1F1Im
5tSPTuMYHd6c9OHB96GkR2lcDp/DGhsgHVnlh/8a+tCNHvuvNd+q2HflDzju3aVFujnog3D2oaxQ
84d1D74PVT0uJ35c89z7UNST/MX/P77UfWjqaez349obuQ89Pc38hL2ENWZGwPDKF+bMf81fe3Wn
70NZz8L4Jcjw6psnfb+RMiGo/vQxqlRjxAQGrX54Gb9tjvnw3PtQ0w5moJ70WUD4yk/ewen1ajRV
oKjqh/eS16zGugukaw+HZ4mfvNZYMAHuqh8f9tk7kLzWXZl9KGsnjOP8Oc3Ssh9sHvf96sigm/or
pPGw7spLJqV8+HnyGvrJl+/hpM6eCb5E+SMu/JeI/aqbkz5IZx86e9F7e+uxUqfu/H0o7pX/5s97
tVGZgFyUpXNFkrA55oNo9qG3V3UWQVjw1B+6VyvvfSjsVW9SY2qEhk39qcPnXlbUnC6TVcqnf/Vf
w9prKPR9ezg98Yu679PZh4p+9bOw7huVPvweHj0r6qIZgeCrH54mWVqjQNItVj782s9zv9wc9K6d
gmNSPvxb5MdpmtckHtLf3cPxvd5LkD7X3pl9KOo3wtR+neT3oarf8pdeGtfIRrp7yrK58ePhl8Me
tZ/NYe/frfR39/AB+UtNRCP9OPWzw6QXx35NQCPTaurHp3G0OeaDVPahqzclWy+GNYfvQ1fv/IQt
K99rFUqaf8qCufMzP0+Luju5D32961EOTeMahZJGovrTF18u0iCpuzX70Ne74stV+VJXKxBUm/rT
l8OiLj4Vns49HD71k6TOTsq8g/Lx9/48TrPNQe8qJb1H5cMfklq/LeOfymc/UhnL6wpj0ipUPv3J
j0rM2OakD3LZh7L+ccPSkpC+nrf/d6/rT3X9Jz//80aVP39AXRvj95D9bnNjQ9Jf92fbzRv5jZe4
52d//wcAAAD//w==</cx:binary>
              </cx:geoCache>
            </cx:geography>
          </cx:layoutPr>
        </cx:series>
      </cx:plotAreaRegion>
    </cx:plotArea>
    <cx:legend pos="t" align="ctr" overlay="0"/>
  </cx:chart>
  <cx:spPr>
    <a:noFill/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sunburst" uniqueId="{5605936A-DDB2-401D-BBF8-D8FDB38DD1A7}">
          <cx:dataId val="0"/>
        </cx:series>
      </cx:plotAreaRegion>
    </cx:plotArea>
    <cx:legend pos="b" align="ctr" overlay="0"/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dk1">
            <a:lumMod val="50000"/>
            <a:lumOff val="50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microsoft.com/office/2014/relationships/chartEx" Target="../charts/chartEx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9525</xdr:rowOff>
        </xdr:from>
        <xdr:to>
          <xdr:col>5</xdr:col>
          <xdr:colOff>533400</xdr:colOff>
          <xdr:row>19</xdr:row>
          <xdr:rowOff>28575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12</xdr:row>
          <xdr:rowOff>0</xdr:rowOff>
        </xdr:from>
        <xdr:to>
          <xdr:col>10</xdr:col>
          <xdr:colOff>619125</xdr:colOff>
          <xdr:row>19</xdr:row>
          <xdr:rowOff>52388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</xdr:row>
      <xdr:rowOff>19049</xdr:rowOff>
    </xdr:from>
    <xdr:to>
      <xdr:col>11</xdr:col>
      <xdr:colOff>47624</xdr:colOff>
      <xdr:row>11</xdr:row>
      <xdr:rowOff>95250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75" y="380999"/>
          <a:ext cx="6877049" cy="170497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>
              <a:solidFill>
                <a:schemeClr val="tx1"/>
              </a:solidFill>
            </a:rPr>
            <a:t>Welcome!</a:t>
          </a:r>
        </a:p>
        <a:p>
          <a:pPr algn="ctr"/>
          <a:r>
            <a:rPr lang="en-US" sz="4400">
              <a:solidFill>
                <a:schemeClr val="tx1"/>
              </a:solidFill>
            </a:rPr>
            <a:t>What</a:t>
          </a:r>
          <a:r>
            <a:rPr lang="en-US" sz="4400" baseline="0">
              <a:solidFill>
                <a:schemeClr val="tx1"/>
              </a:solidFill>
            </a:rPr>
            <a:t> would you like to do?</a:t>
          </a:r>
          <a:endParaRPr lang="en-US" sz="44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123825</xdr:rowOff>
        </xdr:from>
        <xdr:to>
          <xdr:col>8</xdr:col>
          <xdr:colOff>266700</xdr:colOff>
          <xdr:row>28</xdr:row>
          <xdr:rowOff>0</xdr:rowOff>
        </xdr:to>
        <xdr:sp macro="" textlink="">
          <xdr:nvSpPr>
            <xdr:cNvPr id="6149" name="CommandButton3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157161</xdr:colOff>
      <xdr:row>0</xdr:row>
      <xdr:rowOff>171451</xdr:rowOff>
    </xdr:from>
    <xdr:to>
      <xdr:col>13</xdr:col>
      <xdr:colOff>495300</xdr:colOff>
      <xdr:row>20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9525</xdr:rowOff>
    </xdr:from>
    <xdr:to>
      <xdr:col>11</xdr:col>
      <xdr:colOff>581025</xdr:colOff>
      <xdr:row>5</xdr:row>
      <xdr:rowOff>38100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9525"/>
          <a:ext cx="8064104" cy="921544"/>
          <a:chOff x="2905126" y="152400"/>
          <a:chExt cx="8420100" cy="904876"/>
        </a:xfrm>
        <a:solidFill>
          <a:srgbClr val="AF27A5"/>
        </a:solidFill>
      </xdr:grpSpPr>
      <xdr:sp macro="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2905126" y="152400"/>
            <a:ext cx="8420100" cy="761999"/>
          </a:xfrm>
          <a:prstGeom prst="flowChartAlternateProcess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3695699" y="171450"/>
            <a:ext cx="7569094" cy="8858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5400">
                <a:solidFill>
                  <a:schemeClr val="bg1"/>
                </a:solidFill>
              </a:rPr>
              <a:t> Calls Dashboard</a:t>
            </a:r>
          </a:p>
        </xdr:txBody>
      </xdr:sp>
    </xdr:grpSp>
    <xdr:clientData/>
  </xdr:twoCellAnchor>
  <xdr:twoCellAnchor>
    <xdr:from>
      <xdr:col>0</xdr:col>
      <xdr:colOff>46827</xdr:colOff>
      <xdr:row>4</xdr:row>
      <xdr:rowOff>171450</xdr:rowOff>
    </xdr:from>
    <xdr:to>
      <xdr:col>1</xdr:col>
      <xdr:colOff>619125</xdr:colOff>
      <xdr:row>19</xdr:row>
      <xdr:rowOff>133350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46827" y="885825"/>
          <a:ext cx="1256908" cy="2640806"/>
          <a:chOff x="466724" y="1228726"/>
          <a:chExt cx="1969620" cy="1447799"/>
        </a:xfrm>
        <a:solidFill>
          <a:schemeClr val="accent6">
            <a:lumMod val="60000"/>
            <a:lumOff val="40000"/>
          </a:schemeClr>
        </a:solidFill>
      </xdr:grpSpPr>
      <xdr:sp macro="" textlink="'Formula calls by month'!I2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/>
        </xdr:nvSpPr>
        <xdr:spPr>
          <a:xfrm>
            <a:off x="466724" y="1924049"/>
            <a:ext cx="1962152" cy="752476"/>
          </a:xfrm>
          <a:prstGeom prst="roundRect">
            <a:avLst/>
          </a:prstGeom>
          <a:grpFill/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909B5C-8391-4F5B-BDE7-B71F71247EED}" type="TxLink">
              <a:rPr lang="en-US" sz="2400" b="0" i="0" u="none" strike="noStrike">
                <a:solidFill>
                  <a:schemeClr val="bg1"/>
                </a:solidFill>
                <a:latin typeface="Tw Cen MT"/>
                <a:cs typeface="Calibri"/>
              </a:rPr>
              <a:pPr algn="ctr"/>
              <a:t>5</a:t>
            </a:fld>
            <a:endParaRPr lang="en-US" sz="2400" b="1">
              <a:solidFill>
                <a:schemeClr val="bg1"/>
              </a:solidFill>
            </a:endParaRPr>
          </a:p>
        </xdr:txBody>
      </xdr:sp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467974" y="1228726"/>
            <a:ext cx="1968370" cy="606938"/>
          </a:xfrm>
          <a:prstGeom prst="roundRect">
            <a:avLst/>
          </a:prstGeom>
          <a:grpFill/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</a:rPr>
              <a:t>Total</a:t>
            </a:r>
            <a:r>
              <a:rPr lang="en-US" sz="1800" b="1" baseline="0">
                <a:solidFill>
                  <a:schemeClr val="bg1"/>
                </a:solidFill>
              </a:rPr>
              <a:t> Calls</a:t>
            </a:r>
            <a:endParaRPr lang="en-US" sz="18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47625</xdr:colOff>
      <xdr:row>6</xdr:row>
      <xdr:rowOff>171450</xdr:rowOff>
    </xdr:from>
    <xdr:to>
      <xdr:col>7</xdr:col>
      <xdr:colOff>19049</xdr:colOff>
      <xdr:row>22</xdr:row>
      <xdr:rowOff>171451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5</xdr:row>
      <xdr:rowOff>19050</xdr:rowOff>
    </xdr:from>
    <xdr:to>
      <xdr:col>7</xdr:col>
      <xdr:colOff>19050</xdr:colOff>
      <xdr:row>6</xdr:row>
      <xdr:rowOff>123825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1419225" y="923925"/>
          <a:ext cx="3467100" cy="2857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Service</a:t>
          </a:r>
        </a:p>
      </xdr:txBody>
    </xdr:sp>
    <xdr:clientData/>
  </xdr:twoCellAnchor>
  <xdr:twoCellAnchor>
    <xdr:from>
      <xdr:col>7</xdr:col>
      <xdr:colOff>76199</xdr:colOff>
      <xdr:row>5</xdr:row>
      <xdr:rowOff>19050</xdr:rowOff>
    </xdr:from>
    <xdr:to>
      <xdr:col>11</xdr:col>
      <xdr:colOff>581024</xdr:colOff>
      <xdr:row>6</xdr:row>
      <xdr:rowOff>161925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4876799" y="923925"/>
          <a:ext cx="324802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County</a:t>
          </a:r>
        </a:p>
      </xdr:txBody>
    </xdr:sp>
    <xdr:clientData/>
  </xdr:twoCellAnchor>
  <xdr:twoCellAnchor>
    <xdr:from>
      <xdr:col>0</xdr:col>
      <xdr:colOff>38101</xdr:colOff>
      <xdr:row>25</xdr:row>
      <xdr:rowOff>95250</xdr:rowOff>
    </xdr:from>
    <xdr:to>
      <xdr:col>5</xdr:col>
      <xdr:colOff>438151</xdr:colOff>
      <xdr:row>36</xdr:row>
      <xdr:rowOff>38101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95250</xdr:colOff>
      <xdr:row>7</xdr:row>
      <xdr:rowOff>9525</xdr:rowOff>
    </xdr:from>
    <xdr:to>
      <xdr:col>11</xdr:col>
      <xdr:colOff>571500</xdr:colOff>
      <xdr:row>23</xdr:row>
      <xdr:rowOff>38101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7" name="Chart 32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95850" y="1243013"/>
              <a:ext cx="3219450" cy="28479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47625</xdr:colOff>
      <xdr:row>23</xdr:row>
      <xdr:rowOff>114300</xdr:rowOff>
    </xdr:from>
    <xdr:to>
      <xdr:col>5</xdr:col>
      <xdr:colOff>438150</xdr:colOff>
      <xdr:row>25</xdr:row>
      <xdr:rowOff>38100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47625" y="4276725"/>
          <a:ext cx="3819525" cy="2857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Year</a:t>
          </a:r>
        </a:p>
      </xdr:txBody>
    </xdr:sp>
    <xdr:clientData/>
  </xdr:twoCellAnchor>
  <xdr:twoCellAnchor>
    <xdr:from>
      <xdr:col>5</xdr:col>
      <xdr:colOff>542924</xdr:colOff>
      <xdr:row>23</xdr:row>
      <xdr:rowOff>104775</xdr:rowOff>
    </xdr:from>
    <xdr:to>
      <xdr:col>11</xdr:col>
      <xdr:colOff>571500</xdr:colOff>
      <xdr:row>25</xdr:row>
      <xdr:rowOff>28575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3971924" y="4267200"/>
          <a:ext cx="4143376" cy="2857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Month</a:t>
          </a:r>
        </a:p>
      </xdr:txBody>
    </xdr:sp>
    <xdr:clientData/>
  </xdr:twoCellAnchor>
  <xdr:twoCellAnchor>
    <xdr:from>
      <xdr:col>5</xdr:col>
      <xdr:colOff>533400</xdr:colOff>
      <xdr:row>25</xdr:row>
      <xdr:rowOff>76200</xdr:rowOff>
    </xdr:from>
    <xdr:to>
      <xdr:col>11</xdr:col>
      <xdr:colOff>571499</xdr:colOff>
      <xdr:row>36</xdr:row>
      <xdr:rowOff>38101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0" name="Chart 2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62400" y="4481513"/>
              <a:ext cx="4152899" cy="1900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0</xdr:row>
          <xdr:rowOff>142875</xdr:rowOff>
        </xdr:from>
        <xdr:to>
          <xdr:col>14</xdr:col>
          <xdr:colOff>295275</xdr:colOff>
          <xdr:row>2</xdr:row>
          <xdr:rowOff>161925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41727-FA83-43EC-BAE6-D92B9A207A8B}">
  <sheetPr codeName="Sheet6"/>
  <dimension ref="A1"/>
  <sheetViews>
    <sheetView tabSelected="1" zoomScale="70" zoomScaleNormal="70" workbookViewId="0">
      <selection activeCell="O20" sqref="O20"/>
    </sheetView>
  </sheetViews>
  <sheetFormatPr defaultRowHeight="13.9" x14ac:dyDescent="0.4"/>
  <cols>
    <col min="1" max="16384" width="9" style="15"/>
  </cols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CommandButton2">
          <controlPr defaultSize="0" autoLine="0" r:id="rId5">
            <anchor moveWithCells="1">
              <from>
                <xdr:col>6</xdr:col>
                <xdr:colOff>85725</xdr:colOff>
                <xdr:row>12</xdr:row>
                <xdr:rowOff>0</xdr:rowOff>
              </from>
              <to>
                <xdr:col>10</xdr:col>
                <xdr:colOff>619125</xdr:colOff>
                <xdr:row>19</xdr:row>
                <xdr:rowOff>52388</xdr:rowOff>
              </to>
            </anchor>
          </controlPr>
        </control>
      </mc:Choice>
      <mc:Fallback>
        <control shapeId="6147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Line="0" autoPict="0" r:id="rId7">
            <anchor moveWithCells="1">
              <from>
                <xdr:col>1</xdr:col>
                <xdr:colOff>0</xdr:colOff>
                <xdr:row>12</xdr:row>
                <xdr:rowOff>9525</xdr:rowOff>
              </from>
              <to>
                <xdr:col>5</xdr:col>
                <xdr:colOff>533400</xdr:colOff>
                <xdr:row>19</xdr:row>
                <xdr:rowOff>28575</xdr:rowOff>
              </to>
            </anchor>
          </controlPr>
        </control>
      </mc:Choice>
      <mc:Fallback>
        <control shapeId="6145" r:id="rId6" name="CommandButton1"/>
      </mc:Fallback>
    </mc:AlternateContent>
    <mc:AlternateContent xmlns:mc="http://schemas.openxmlformats.org/markup-compatibility/2006">
      <mc:Choice Requires="x14">
        <control shapeId="6149" r:id="rId8" name="CommandButton3">
          <controlPr defaultSize="0" autoLine="0" r:id="rId9">
            <anchor moveWithCells="1">
              <from>
                <xdr:col>3</xdr:col>
                <xdr:colOff>419100</xdr:colOff>
                <xdr:row>20</xdr:row>
                <xdr:rowOff>123825</xdr:rowOff>
              </from>
              <to>
                <xdr:col>8</xdr:col>
                <xdr:colOff>266700</xdr:colOff>
                <xdr:row>28</xdr:row>
                <xdr:rowOff>0</xdr:rowOff>
              </to>
            </anchor>
          </controlPr>
        </control>
      </mc:Choice>
      <mc:Fallback>
        <control shapeId="6149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16A25-FBCF-45E8-ACA3-E0416C759D63}">
  <sheetPr codeName="Sheet1"/>
  <dimension ref="A1:L19"/>
  <sheetViews>
    <sheetView zoomScale="80" zoomScaleNormal="80" workbookViewId="0">
      <selection activeCell="E14" sqref="E14"/>
    </sheetView>
  </sheetViews>
  <sheetFormatPr defaultRowHeight="13.9" x14ac:dyDescent="0.4"/>
  <cols>
    <col min="1" max="1" width="12" style="1" customWidth="1"/>
    <col min="2" max="2" width="16.25" customWidth="1"/>
    <col min="3" max="3" width="18.25" customWidth="1"/>
    <col min="4" max="4" width="20.25" customWidth="1"/>
    <col min="5" max="5" width="19.5" customWidth="1"/>
    <col min="6" max="6" width="23.625" style="4" customWidth="1"/>
    <col min="7" max="7" width="44.375" style="4" customWidth="1"/>
    <col min="9" max="9" width="11.25" style="11" customWidth="1"/>
    <col min="10" max="10" width="20.125" customWidth="1"/>
    <col min="11" max="11" width="36.5" style="13" customWidth="1"/>
    <col min="12" max="12" width="24.5" customWidth="1"/>
  </cols>
  <sheetData>
    <row r="1" spans="1:12" x14ac:dyDescent="0.4">
      <c r="A1" s="5" t="s">
        <v>2</v>
      </c>
      <c r="B1" s="2" t="s">
        <v>3</v>
      </c>
      <c r="C1" s="2" t="s">
        <v>4</v>
      </c>
      <c r="D1" s="2" t="s">
        <v>5</v>
      </c>
      <c r="E1" s="2" t="s">
        <v>0</v>
      </c>
      <c r="F1" s="3" t="s">
        <v>6</v>
      </c>
      <c r="G1" s="3" t="s">
        <v>1</v>
      </c>
      <c r="H1" s="2" t="s">
        <v>7</v>
      </c>
      <c r="I1" s="10" t="s">
        <v>111</v>
      </c>
      <c r="J1" s="2" t="s">
        <v>112</v>
      </c>
      <c r="K1" s="12" t="s">
        <v>113</v>
      </c>
      <c r="L1" s="2" t="s">
        <v>114</v>
      </c>
    </row>
    <row r="2" spans="1:12" x14ac:dyDescent="0.4">
      <c r="A2" s="1">
        <v>44458</v>
      </c>
      <c r="B2" t="s">
        <v>115</v>
      </c>
      <c r="C2" t="s">
        <v>116</v>
      </c>
      <c r="D2" t="s">
        <v>117</v>
      </c>
      <c r="E2" t="s">
        <v>24</v>
      </c>
      <c r="F2" t="s">
        <v>18</v>
      </c>
      <c r="G2" t="s">
        <v>118</v>
      </c>
      <c r="H2">
        <v>1</v>
      </c>
      <c r="I2" s="14">
        <v>0.35416666666666669</v>
      </c>
      <c r="J2" t="s">
        <v>119</v>
      </c>
      <c r="K2" t="s">
        <v>120</v>
      </c>
      <c r="L2" t="s">
        <v>121</v>
      </c>
    </row>
    <row r="3" spans="1:12" x14ac:dyDescent="0.4">
      <c r="F3"/>
      <c r="G3"/>
      <c r="I3" s="14"/>
      <c r="K3"/>
    </row>
    <row r="4" spans="1:12" x14ac:dyDescent="0.4">
      <c r="F4"/>
      <c r="G4"/>
      <c r="I4" s="14"/>
      <c r="K4"/>
    </row>
    <row r="5" spans="1:12" x14ac:dyDescent="0.4">
      <c r="F5"/>
      <c r="G5"/>
      <c r="I5" s="14"/>
      <c r="K5"/>
    </row>
    <row r="19" customFormat="1" x14ac:dyDescent="0.4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DED37-155C-4206-A33E-53E7BB98018F}">
  <sheetPr codeName="Sheet4"/>
  <dimension ref="A1:C68"/>
  <sheetViews>
    <sheetView workbookViewId="0">
      <selection activeCell="C70" sqref="C70"/>
    </sheetView>
  </sheetViews>
  <sheetFormatPr defaultRowHeight="13.9" x14ac:dyDescent="0.4"/>
  <cols>
    <col min="1" max="3" width="15.5" customWidth="1"/>
    <col min="5" max="7" width="8"/>
  </cols>
  <sheetData>
    <row r="1" spans="1:3" x14ac:dyDescent="0.4">
      <c r="A1" t="s">
        <v>13</v>
      </c>
      <c r="B1" t="s">
        <v>0</v>
      </c>
      <c r="C1" t="s">
        <v>16</v>
      </c>
    </row>
    <row r="2" spans="1:3" x14ac:dyDescent="0.4">
      <c r="A2" t="s">
        <v>14</v>
      </c>
      <c r="B2" t="s">
        <v>20</v>
      </c>
      <c r="C2">
        <f>COUNTIF(Data!E:E,B2)</f>
        <v>0</v>
      </c>
    </row>
    <row r="3" spans="1:3" x14ac:dyDescent="0.4">
      <c r="A3" t="s">
        <v>14</v>
      </c>
      <c r="B3" t="s">
        <v>21</v>
      </c>
      <c r="C3">
        <f>COUNTIF(Data!E:E,B3)</f>
        <v>0</v>
      </c>
    </row>
    <row r="4" spans="1:3" x14ac:dyDescent="0.4">
      <c r="A4" t="s">
        <v>14</v>
      </c>
      <c r="B4" t="s">
        <v>22</v>
      </c>
      <c r="C4">
        <f>COUNTIF(Data!E:E,B4)</f>
        <v>0</v>
      </c>
    </row>
    <row r="5" spans="1:3" x14ac:dyDescent="0.4">
      <c r="A5" t="s">
        <v>14</v>
      </c>
      <c r="B5" t="s">
        <v>23</v>
      </c>
      <c r="C5">
        <f>COUNTIF(Data!E:E,B5)</f>
        <v>0</v>
      </c>
    </row>
    <row r="6" spans="1:3" x14ac:dyDescent="0.4">
      <c r="A6" t="s">
        <v>14</v>
      </c>
      <c r="B6" t="s">
        <v>24</v>
      </c>
      <c r="C6">
        <f>COUNTIF(Data!E:E,B6)</f>
        <v>1</v>
      </c>
    </row>
    <row r="7" spans="1:3" x14ac:dyDescent="0.4">
      <c r="A7" t="s">
        <v>14</v>
      </c>
      <c r="B7" t="s">
        <v>25</v>
      </c>
      <c r="C7">
        <f>COUNTIF(Data!E:E,B7)</f>
        <v>0</v>
      </c>
    </row>
    <row r="8" spans="1:3" x14ac:dyDescent="0.4">
      <c r="A8" t="s">
        <v>14</v>
      </c>
      <c r="B8" t="s">
        <v>26</v>
      </c>
      <c r="C8">
        <f>COUNTIF(Data!E:E,B8)</f>
        <v>0</v>
      </c>
    </row>
    <row r="9" spans="1:3" x14ac:dyDescent="0.4">
      <c r="A9" t="s">
        <v>14</v>
      </c>
      <c r="B9" t="s">
        <v>27</v>
      </c>
      <c r="C9">
        <f>COUNTIF(Data!E:E,B9)</f>
        <v>0</v>
      </c>
    </row>
    <row r="10" spans="1:3" x14ac:dyDescent="0.4">
      <c r="A10" t="s">
        <v>14</v>
      </c>
      <c r="B10" t="s">
        <v>28</v>
      </c>
      <c r="C10">
        <f>COUNTIF(Data!E:E,B10)</f>
        <v>0</v>
      </c>
    </row>
    <row r="11" spans="1:3" x14ac:dyDescent="0.4">
      <c r="A11" t="s">
        <v>14</v>
      </c>
      <c r="B11" t="s">
        <v>29</v>
      </c>
      <c r="C11">
        <f>COUNTIF(Data!E:E,B11)</f>
        <v>0</v>
      </c>
    </row>
    <row r="12" spans="1:3" x14ac:dyDescent="0.4">
      <c r="A12" t="s">
        <v>14</v>
      </c>
      <c r="B12" t="s">
        <v>30</v>
      </c>
      <c r="C12">
        <f>COUNTIF(Data!E:E,B12)</f>
        <v>0</v>
      </c>
    </row>
    <row r="13" spans="1:3" x14ac:dyDescent="0.4">
      <c r="A13" t="s">
        <v>14</v>
      </c>
      <c r="B13" t="s">
        <v>31</v>
      </c>
      <c r="C13">
        <f>COUNTIF(Data!E:E,B13)</f>
        <v>0</v>
      </c>
    </row>
    <row r="14" spans="1:3" x14ac:dyDescent="0.4">
      <c r="A14" t="s">
        <v>14</v>
      </c>
      <c r="B14" t="s">
        <v>32</v>
      </c>
      <c r="C14">
        <f>COUNTIF(Data!E:E,B14)</f>
        <v>0</v>
      </c>
    </row>
    <row r="15" spans="1:3" x14ac:dyDescent="0.4">
      <c r="A15" t="s">
        <v>14</v>
      </c>
      <c r="B15" t="s">
        <v>33</v>
      </c>
      <c r="C15">
        <f>COUNTIF(Data!E:E,B15)</f>
        <v>0</v>
      </c>
    </row>
    <row r="16" spans="1:3" x14ac:dyDescent="0.4">
      <c r="A16" t="s">
        <v>14</v>
      </c>
      <c r="B16" t="s">
        <v>34</v>
      </c>
      <c r="C16">
        <f>COUNTIF(Data!E:E,B16)</f>
        <v>0</v>
      </c>
    </row>
    <row r="17" spans="1:3" x14ac:dyDescent="0.4">
      <c r="A17" t="s">
        <v>14</v>
      </c>
      <c r="B17" t="s">
        <v>35</v>
      </c>
      <c r="C17">
        <f>COUNTIF(Data!E:E,B17)</f>
        <v>0</v>
      </c>
    </row>
    <row r="18" spans="1:3" x14ac:dyDescent="0.4">
      <c r="A18" t="s">
        <v>14</v>
      </c>
      <c r="B18" t="s">
        <v>36</v>
      </c>
      <c r="C18">
        <f>COUNTIF(Data!E:E,B18)</f>
        <v>0</v>
      </c>
    </row>
    <row r="19" spans="1:3" x14ac:dyDescent="0.4">
      <c r="A19" t="s">
        <v>14</v>
      </c>
      <c r="B19" t="s">
        <v>37</v>
      </c>
      <c r="C19">
        <f>COUNTIF(Data!E:E,B19)</f>
        <v>0</v>
      </c>
    </row>
    <row r="20" spans="1:3" x14ac:dyDescent="0.4">
      <c r="A20" t="s">
        <v>14</v>
      </c>
      <c r="B20" t="s">
        <v>38</v>
      </c>
      <c r="C20">
        <f>COUNTIF(Data!E:E,B20)</f>
        <v>0</v>
      </c>
    </row>
    <row r="21" spans="1:3" x14ac:dyDescent="0.4">
      <c r="A21" t="s">
        <v>14</v>
      </c>
      <c r="B21" t="s">
        <v>39</v>
      </c>
      <c r="C21">
        <f>COUNTIF(Data!E:E,B21)</f>
        <v>0</v>
      </c>
    </row>
    <row r="22" spans="1:3" x14ac:dyDescent="0.4">
      <c r="A22" t="s">
        <v>14</v>
      </c>
      <c r="B22" t="s">
        <v>40</v>
      </c>
      <c r="C22">
        <f>COUNTIF(Data!E:E,B22)</f>
        <v>0</v>
      </c>
    </row>
    <row r="23" spans="1:3" x14ac:dyDescent="0.4">
      <c r="A23" t="s">
        <v>14</v>
      </c>
      <c r="B23" t="s">
        <v>41</v>
      </c>
      <c r="C23">
        <f>COUNTIF(Data!E:E,B23)</f>
        <v>0</v>
      </c>
    </row>
    <row r="24" spans="1:3" x14ac:dyDescent="0.4">
      <c r="A24" t="s">
        <v>14</v>
      </c>
      <c r="B24" t="s">
        <v>42</v>
      </c>
      <c r="C24">
        <f>COUNTIF(Data!E:E,B24)</f>
        <v>0</v>
      </c>
    </row>
    <row r="25" spans="1:3" x14ac:dyDescent="0.4">
      <c r="A25" t="s">
        <v>14</v>
      </c>
      <c r="B25" t="s">
        <v>43</v>
      </c>
      <c r="C25">
        <f>COUNTIF(Data!E:E,B25)</f>
        <v>0</v>
      </c>
    </row>
    <row r="26" spans="1:3" x14ac:dyDescent="0.4">
      <c r="A26" t="s">
        <v>14</v>
      </c>
      <c r="B26" t="s">
        <v>44</v>
      </c>
      <c r="C26">
        <f>COUNTIF(Data!E:E,B26)</f>
        <v>0</v>
      </c>
    </row>
    <row r="27" spans="1:3" x14ac:dyDescent="0.4">
      <c r="A27" t="s">
        <v>14</v>
      </c>
      <c r="B27" t="s">
        <v>45</v>
      </c>
      <c r="C27">
        <f>COUNTIF(Data!E:E,B27)</f>
        <v>0</v>
      </c>
    </row>
    <row r="28" spans="1:3" x14ac:dyDescent="0.4">
      <c r="A28" t="s">
        <v>14</v>
      </c>
      <c r="B28" t="s">
        <v>46</v>
      </c>
      <c r="C28">
        <f>COUNTIF(Data!E:E,B28)</f>
        <v>0</v>
      </c>
    </row>
    <row r="29" spans="1:3" x14ac:dyDescent="0.4">
      <c r="A29" t="s">
        <v>14</v>
      </c>
      <c r="B29" t="s">
        <v>47</v>
      </c>
      <c r="C29">
        <f>COUNTIF(Data!E:E,B29)</f>
        <v>0</v>
      </c>
    </row>
    <row r="30" spans="1:3" x14ac:dyDescent="0.4">
      <c r="A30" t="s">
        <v>14</v>
      </c>
      <c r="B30" t="s">
        <v>48</v>
      </c>
      <c r="C30">
        <f>COUNTIF(Data!E:E,B30)</f>
        <v>0</v>
      </c>
    </row>
    <row r="31" spans="1:3" x14ac:dyDescent="0.4">
      <c r="A31" t="s">
        <v>14</v>
      </c>
      <c r="B31" t="s">
        <v>49</v>
      </c>
      <c r="C31">
        <f>COUNTIF(Data!E:E,B31)</f>
        <v>0</v>
      </c>
    </row>
    <row r="32" spans="1:3" x14ac:dyDescent="0.4">
      <c r="A32" t="s">
        <v>14</v>
      </c>
      <c r="B32" t="s">
        <v>50</v>
      </c>
      <c r="C32">
        <f>COUNTIF(Data!E:E,B32)</f>
        <v>0</v>
      </c>
    </row>
    <row r="33" spans="1:3" x14ac:dyDescent="0.4">
      <c r="A33" t="s">
        <v>14</v>
      </c>
      <c r="B33" t="s">
        <v>51</v>
      </c>
      <c r="C33">
        <f>COUNTIF(Data!E:E,B33)</f>
        <v>0</v>
      </c>
    </row>
    <row r="34" spans="1:3" x14ac:dyDescent="0.4">
      <c r="A34" t="s">
        <v>14</v>
      </c>
      <c r="B34" t="s">
        <v>52</v>
      </c>
      <c r="C34">
        <f>COUNTIF(Data!E:E,B34)</f>
        <v>0</v>
      </c>
    </row>
    <row r="35" spans="1:3" x14ac:dyDescent="0.4">
      <c r="A35" t="s">
        <v>14</v>
      </c>
      <c r="B35" t="s">
        <v>53</v>
      </c>
      <c r="C35">
        <f>COUNTIF(Data!E:E,B35)</f>
        <v>0</v>
      </c>
    </row>
    <row r="36" spans="1:3" x14ac:dyDescent="0.4">
      <c r="A36" t="s">
        <v>14</v>
      </c>
      <c r="B36" t="s">
        <v>54</v>
      </c>
      <c r="C36">
        <f>COUNTIF(Data!E:E,B36)</f>
        <v>0</v>
      </c>
    </row>
    <row r="37" spans="1:3" x14ac:dyDescent="0.4">
      <c r="A37" t="s">
        <v>14</v>
      </c>
      <c r="B37" t="s">
        <v>11</v>
      </c>
      <c r="C37">
        <f>COUNTIF(Data!E:E,B37)</f>
        <v>0</v>
      </c>
    </row>
    <row r="38" spans="1:3" x14ac:dyDescent="0.4">
      <c r="A38" t="s">
        <v>14</v>
      </c>
      <c r="B38" t="s">
        <v>55</v>
      </c>
      <c r="C38">
        <f>COUNTIF(Data!E:E,B38)</f>
        <v>0</v>
      </c>
    </row>
    <row r="39" spans="1:3" x14ac:dyDescent="0.4">
      <c r="A39" t="s">
        <v>14</v>
      </c>
      <c r="B39" t="s">
        <v>56</v>
      </c>
      <c r="C39">
        <f>COUNTIF(Data!E:E,B39)</f>
        <v>0</v>
      </c>
    </row>
    <row r="40" spans="1:3" x14ac:dyDescent="0.4">
      <c r="A40" t="s">
        <v>14</v>
      </c>
      <c r="B40" t="s">
        <v>57</v>
      </c>
      <c r="C40">
        <f>COUNTIF(Data!E:E,B40)</f>
        <v>0</v>
      </c>
    </row>
    <row r="41" spans="1:3" x14ac:dyDescent="0.4">
      <c r="A41" t="s">
        <v>14</v>
      </c>
      <c r="B41" t="s">
        <v>58</v>
      </c>
      <c r="C41">
        <f>COUNTIF(Data!E:E,B41)</f>
        <v>0</v>
      </c>
    </row>
    <row r="42" spans="1:3" x14ac:dyDescent="0.4">
      <c r="A42" t="s">
        <v>14</v>
      </c>
      <c r="B42" t="s">
        <v>59</v>
      </c>
      <c r="C42">
        <f>COUNTIF(Data!E:E,B42)</f>
        <v>0</v>
      </c>
    </row>
    <row r="43" spans="1:3" x14ac:dyDescent="0.4">
      <c r="A43" t="s">
        <v>14</v>
      </c>
      <c r="B43" t="s">
        <v>60</v>
      </c>
      <c r="C43">
        <f>COUNTIF(Data!E:E,B43)</f>
        <v>0</v>
      </c>
    </row>
    <row r="44" spans="1:3" x14ac:dyDescent="0.4">
      <c r="A44" t="s">
        <v>14</v>
      </c>
      <c r="B44" t="s">
        <v>61</v>
      </c>
      <c r="C44">
        <f>COUNTIF(Data!E:E,B44)</f>
        <v>0</v>
      </c>
    </row>
    <row r="45" spans="1:3" x14ac:dyDescent="0.4">
      <c r="A45" t="s">
        <v>14</v>
      </c>
      <c r="B45" t="s">
        <v>62</v>
      </c>
      <c r="C45">
        <f>COUNTIF(Data!E:E,B45)</f>
        <v>0</v>
      </c>
    </row>
    <row r="46" spans="1:3" x14ac:dyDescent="0.4">
      <c r="A46" t="s">
        <v>14</v>
      </c>
      <c r="B46" t="s">
        <v>63</v>
      </c>
      <c r="C46">
        <f>COUNTIF(Data!E:E,B46)</f>
        <v>0</v>
      </c>
    </row>
    <row r="47" spans="1:3" x14ac:dyDescent="0.4">
      <c r="A47" t="s">
        <v>14</v>
      </c>
      <c r="B47" t="s">
        <v>64</v>
      </c>
      <c r="C47">
        <f>COUNTIF(Data!E:E,B47)</f>
        <v>0</v>
      </c>
    </row>
    <row r="48" spans="1:3" x14ac:dyDescent="0.4">
      <c r="A48" t="s">
        <v>14</v>
      </c>
      <c r="B48" t="s">
        <v>65</v>
      </c>
      <c r="C48">
        <f>COUNTIF(Data!E:E,B48)</f>
        <v>0</v>
      </c>
    </row>
    <row r="49" spans="1:3" x14ac:dyDescent="0.4">
      <c r="A49" t="s">
        <v>14</v>
      </c>
      <c r="B49" t="s">
        <v>66</v>
      </c>
      <c r="C49">
        <f>COUNTIF(Data!E:E,B49)</f>
        <v>0</v>
      </c>
    </row>
    <row r="50" spans="1:3" x14ac:dyDescent="0.4">
      <c r="A50" t="s">
        <v>14</v>
      </c>
      <c r="B50" t="s">
        <v>67</v>
      </c>
      <c r="C50">
        <f>COUNTIF(Data!E:E,B50)</f>
        <v>0</v>
      </c>
    </row>
    <row r="51" spans="1:3" x14ac:dyDescent="0.4">
      <c r="A51" t="s">
        <v>14</v>
      </c>
      <c r="B51" t="s">
        <v>68</v>
      </c>
      <c r="C51">
        <f>COUNTIF(Data!E:E,B51)</f>
        <v>0</v>
      </c>
    </row>
    <row r="52" spans="1:3" x14ac:dyDescent="0.4">
      <c r="A52" t="s">
        <v>14</v>
      </c>
      <c r="B52" t="s">
        <v>69</v>
      </c>
      <c r="C52">
        <f>COUNTIF(Data!E:E,B52)</f>
        <v>0</v>
      </c>
    </row>
    <row r="53" spans="1:3" x14ac:dyDescent="0.4">
      <c r="A53" t="s">
        <v>14</v>
      </c>
      <c r="B53" t="s">
        <v>70</v>
      </c>
      <c r="C53">
        <f>COUNTIF(Data!E:E,B53)</f>
        <v>0</v>
      </c>
    </row>
    <row r="54" spans="1:3" x14ac:dyDescent="0.4">
      <c r="A54" t="s">
        <v>14</v>
      </c>
      <c r="B54" t="s">
        <v>71</v>
      </c>
      <c r="C54">
        <f>COUNTIF(Data!E:E,B54)</f>
        <v>0</v>
      </c>
    </row>
    <row r="55" spans="1:3" x14ac:dyDescent="0.4">
      <c r="A55" t="s">
        <v>14</v>
      </c>
      <c r="B55" t="s">
        <v>72</v>
      </c>
      <c r="C55">
        <f>COUNTIF(Data!E:E,B55)</f>
        <v>0</v>
      </c>
    </row>
    <row r="56" spans="1:3" x14ac:dyDescent="0.4">
      <c r="A56" t="s">
        <v>14</v>
      </c>
      <c r="B56" t="s">
        <v>82</v>
      </c>
      <c r="C56">
        <f>COUNTIF(Data!E:E,B56)</f>
        <v>0</v>
      </c>
    </row>
    <row r="57" spans="1:3" x14ac:dyDescent="0.4">
      <c r="A57" t="s">
        <v>14</v>
      </c>
      <c r="B57" t="s">
        <v>83</v>
      </c>
      <c r="C57">
        <f>COUNTIF(Data!E:E,B57)</f>
        <v>0</v>
      </c>
    </row>
    <row r="58" spans="1:3" x14ac:dyDescent="0.4">
      <c r="A58" t="s">
        <v>14</v>
      </c>
      <c r="B58" t="s">
        <v>73</v>
      </c>
      <c r="C58">
        <f>COUNTIF(Data!E:E,B58)</f>
        <v>0</v>
      </c>
    </row>
    <row r="59" spans="1:3" x14ac:dyDescent="0.4">
      <c r="A59" t="s">
        <v>14</v>
      </c>
      <c r="B59" t="s">
        <v>74</v>
      </c>
      <c r="C59">
        <f>COUNTIF(Data!E:E,B59)</f>
        <v>0</v>
      </c>
    </row>
    <row r="60" spans="1:3" x14ac:dyDescent="0.4">
      <c r="A60" t="s">
        <v>14</v>
      </c>
      <c r="B60" t="s">
        <v>75</v>
      </c>
      <c r="C60">
        <f>COUNTIF(Data!E:E,B60)</f>
        <v>0</v>
      </c>
    </row>
    <row r="61" spans="1:3" x14ac:dyDescent="0.4">
      <c r="A61" t="s">
        <v>14</v>
      </c>
      <c r="B61" t="s">
        <v>76</v>
      </c>
      <c r="C61">
        <f>COUNTIF(Data!E:E,B61)</f>
        <v>0</v>
      </c>
    </row>
    <row r="62" spans="1:3" x14ac:dyDescent="0.4">
      <c r="A62" t="s">
        <v>14</v>
      </c>
      <c r="B62" t="s">
        <v>77</v>
      </c>
      <c r="C62">
        <f>COUNTIF(Data!E:E,B62)</f>
        <v>0</v>
      </c>
    </row>
    <row r="63" spans="1:3" x14ac:dyDescent="0.4">
      <c r="A63" t="s">
        <v>14</v>
      </c>
      <c r="B63" t="s">
        <v>78</v>
      </c>
      <c r="C63">
        <f>COUNTIF(Data!E:E,B63)</f>
        <v>0</v>
      </c>
    </row>
    <row r="64" spans="1:3" x14ac:dyDescent="0.4">
      <c r="A64" t="s">
        <v>14</v>
      </c>
      <c r="B64" t="s">
        <v>79</v>
      </c>
      <c r="C64">
        <f>COUNTIF(Data!E:E,B64)</f>
        <v>0</v>
      </c>
    </row>
    <row r="65" spans="1:3" x14ac:dyDescent="0.4">
      <c r="A65" t="s">
        <v>14</v>
      </c>
      <c r="B65" t="s">
        <v>15</v>
      </c>
      <c r="C65">
        <f>COUNTIF(Data!E:E,B65)</f>
        <v>0</v>
      </c>
    </row>
    <row r="66" spans="1:3" x14ac:dyDescent="0.4">
      <c r="A66" t="s">
        <v>14</v>
      </c>
      <c r="B66" t="s">
        <v>10</v>
      </c>
      <c r="C66">
        <f>COUNTIF(Data!E:E,B66)</f>
        <v>0</v>
      </c>
    </row>
    <row r="67" spans="1:3" x14ac:dyDescent="0.4">
      <c r="A67" t="s">
        <v>14</v>
      </c>
      <c r="B67" t="s">
        <v>80</v>
      </c>
      <c r="C67">
        <f>COUNTIF(Data!E:E,B67)</f>
        <v>0</v>
      </c>
    </row>
    <row r="68" spans="1:3" x14ac:dyDescent="0.4">
      <c r="A68" t="s">
        <v>14</v>
      </c>
      <c r="B68" t="s">
        <v>81</v>
      </c>
      <c r="C68">
        <f>COUNTIF(Data!E:E,B68)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39DD-B00F-4E34-999A-9B39E6F07271}">
  <sheetPr codeName="Sheet2"/>
  <dimension ref="A1:B15"/>
  <sheetViews>
    <sheetView workbookViewId="0">
      <selection activeCell="A19" sqref="A19"/>
    </sheetView>
  </sheetViews>
  <sheetFormatPr defaultRowHeight="13.9" x14ac:dyDescent="0.4"/>
  <cols>
    <col min="1" max="1" width="23.875" customWidth="1"/>
  </cols>
  <sheetData>
    <row r="1" spans="1:2" x14ac:dyDescent="0.4">
      <c r="A1" t="s">
        <v>12</v>
      </c>
      <c r="B1" t="s">
        <v>16</v>
      </c>
    </row>
    <row r="2" spans="1:2" x14ac:dyDescent="0.4">
      <c r="A2" t="s">
        <v>84</v>
      </c>
      <c r="B2">
        <f>COUNTIF(Data!F:F,A2)</f>
        <v>0</v>
      </c>
    </row>
    <row r="3" spans="1:2" x14ac:dyDescent="0.4">
      <c r="A3" t="s">
        <v>85</v>
      </c>
      <c r="B3">
        <f>COUNTIF(Data!F:F,A3)</f>
        <v>0</v>
      </c>
    </row>
    <row r="4" spans="1:2" x14ac:dyDescent="0.4">
      <c r="A4" t="s">
        <v>8</v>
      </c>
      <c r="B4">
        <f>COUNTIF(Data!F:F,A4)</f>
        <v>0</v>
      </c>
    </row>
    <row r="5" spans="1:2" x14ac:dyDescent="0.4">
      <c r="A5" t="s">
        <v>18</v>
      </c>
      <c r="B5">
        <f>COUNTIF(Data!F:F,A5)</f>
        <v>1</v>
      </c>
    </row>
    <row r="6" spans="1:2" x14ac:dyDescent="0.4">
      <c r="A6" t="s">
        <v>86</v>
      </c>
      <c r="B6">
        <f>COUNTIF(Data!F:F,A6)</f>
        <v>0</v>
      </c>
    </row>
    <row r="7" spans="1:2" x14ac:dyDescent="0.4">
      <c r="A7" t="s">
        <v>17</v>
      </c>
      <c r="B7">
        <f>COUNTIF(Data!F:F,A7)</f>
        <v>0</v>
      </c>
    </row>
    <row r="8" spans="1:2" x14ac:dyDescent="0.4">
      <c r="A8" t="s">
        <v>9</v>
      </c>
      <c r="B8">
        <f>COUNTIF(Data!F:F,A8)</f>
        <v>0</v>
      </c>
    </row>
    <row r="9" spans="1:2" x14ac:dyDescent="0.4">
      <c r="A9" t="s">
        <v>19</v>
      </c>
      <c r="B9">
        <f>COUNTIF(Data!F:F,A9)</f>
        <v>0</v>
      </c>
    </row>
    <row r="10" spans="1:2" x14ac:dyDescent="0.4">
      <c r="A10" t="s">
        <v>87</v>
      </c>
      <c r="B10">
        <f>COUNTIF(Data!F:F,A10)</f>
        <v>0</v>
      </c>
    </row>
    <row r="11" spans="1:2" x14ac:dyDescent="0.4">
      <c r="A11" t="s">
        <v>88</v>
      </c>
      <c r="B11">
        <f>COUNTIF(Data!F:F,A11)</f>
        <v>0</v>
      </c>
    </row>
    <row r="12" spans="1:2" x14ac:dyDescent="0.4">
      <c r="A12" t="s">
        <v>89</v>
      </c>
      <c r="B12">
        <f>COUNTIF(Data!F:F,A12)</f>
        <v>0</v>
      </c>
    </row>
    <row r="13" spans="1:2" x14ac:dyDescent="0.4">
      <c r="A13" t="s">
        <v>90</v>
      </c>
      <c r="B13">
        <f>COUNTIF(Data!F:F,A13)</f>
        <v>0</v>
      </c>
    </row>
    <row r="14" spans="1:2" x14ac:dyDescent="0.4">
      <c r="A14" t="s">
        <v>91</v>
      </c>
      <c r="B14">
        <f>COUNTIF(Data!F:F,A14)</f>
        <v>0</v>
      </c>
    </row>
    <row r="15" spans="1:2" x14ac:dyDescent="0.4">
      <c r="A15" t="s">
        <v>92</v>
      </c>
      <c r="B15">
        <f>COUNTIF(Data!F:F,A15)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05E3-8004-431D-953D-2A518A613965}">
  <sheetPr codeName="Sheet5"/>
  <dimension ref="A1:J48"/>
  <sheetViews>
    <sheetView workbookViewId="0">
      <selection activeCell="A2" sqref="A2:D2"/>
    </sheetView>
  </sheetViews>
  <sheetFormatPr defaultRowHeight="13.9" x14ac:dyDescent="0.4"/>
  <cols>
    <col min="1" max="1" width="17.25" style="7" customWidth="1"/>
    <col min="2" max="5" width="14.25" customWidth="1"/>
    <col min="6" max="6" width="14.875" customWidth="1"/>
    <col min="7" max="7" width="10.625" customWidth="1"/>
    <col min="9" max="10" width="10" customWidth="1"/>
  </cols>
  <sheetData>
    <row r="1" spans="1:10" ht="13.5" customHeight="1" x14ac:dyDescent="0.4">
      <c r="A1" s="9" t="s">
        <v>7</v>
      </c>
      <c r="B1" s="2" t="s">
        <v>2</v>
      </c>
      <c r="C1" s="2" t="s">
        <v>93</v>
      </c>
      <c r="D1" s="2" t="s">
        <v>94</v>
      </c>
      <c r="E1" s="2"/>
      <c r="F1" s="2"/>
      <c r="G1" s="2"/>
      <c r="H1" s="2"/>
      <c r="I1" s="2"/>
      <c r="J1" s="2"/>
    </row>
    <row r="2" spans="1:10" x14ac:dyDescent="0.4">
      <c r="A2">
        <v>1</v>
      </c>
      <c r="B2" s="1">
        <v>44455</v>
      </c>
      <c r="C2" t="str">
        <f>TEXT(B2,"mmmm")</f>
        <v>September</v>
      </c>
      <c r="D2">
        <f>YEAR(B2)</f>
        <v>2021</v>
      </c>
      <c r="I2" s="2"/>
    </row>
    <row r="3" spans="1:10" x14ac:dyDescent="0.4">
      <c r="A3">
        <v>2</v>
      </c>
      <c r="B3" s="1">
        <v>43967</v>
      </c>
      <c r="C3" t="str">
        <f>TEXT(B3,"mmmm")</f>
        <v>May</v>
      </c>
      <c r="D3">
        <f>YEAR(B3)</f>
        <v>2020</v>
      </c>
    </row>
    <row r="4" spans="1:10" x14ac:dyDescent="0.4">
      <c r="A4">
        <v>3</v>
      </c>
      <c r="B4" s="1">
        <v>43512</v>
      </c>
      <c r="C4" t="str">
        <f>TEXT(B4,"mmmm")</f>
        <v>February</v>
      </c>
      <c r="D4">
        <f>YEAR(B4)</f>
        <v>2019</v>
      </c>
    </row>
    <row r="5" spans="1:10" x14ac:dyDescent="0.4">
      <c r="A5">
        <v>4</v>
      </c>
      <c r="B5" s="1">
        <v>43116</v>
      </c>
      <c r="C5" t="str">
        <f>TEXT(B5,"mmmm")</f>
        <v>January</v>
      </c>
      <c r="D5">
        <f>YEAR(B5)</f>
        <v>2018</v>
      </c>
    </row>
    <row r="6" spans="1:10" x14ac:dyDescent="0.4">
      <c r="A6" s="7">
        <v>1</v>
      </c>
      <c r="B6" s="1">
        <v>44458</v>
      </c>
      <c r="C6" t="str">
        <f>TEXT(B6,"mmmm")</f>
        <v>September</v>
      </c>
      <c r="D6">
        <f>YEAR(B6)</f>
        <v>2021</v>
      </c>
    </row>
    <row r="7" spans="1:10" x14ac:dyDescent="0.4">
      <c r="B7" s="1"/>
    </row>
    <row r="8" spans="1:10" ht="15" x14ac:dyDescent="0.4">
      <c r="B8" s="1"/>
      <c r="F8" s="8"/>
    </row>
    <row r="9" spans="1:10" ht="15" x14ac:dyDescent="0.4">
      <c r="B9" s="1"/>
      <c r="F9" s="8"/>
    </row>
    <row r="10" spans="1:10" ht="15" x14ac:dyDescent="0.4">
      <c r="B10" s="1"/>
      <c r="F10" s="8"/>
    </row>
    <row r="11" spans="1:10" ht="15" x14ac:dyDescent="0.4">
      <c r="B11" s="1"/>
      <c r="F11" s="8"/>
    </row>
    <row r="12" spans="1:10" ht="15" x14ac:dyDescent="0.4">
      <c r="B12" s="1"/>
      <c r="F12" s="8"/>
    </row>
    <row r="13" spans="1:10" ht="15" x14ac:dyDescent="0.4">
      <c r="B13" s="1"/>
      <c r="F13" s="8"/>
    </row>
    <row r="14" spans="1:10" ht="15" x14ac:dyDescent="0.4">
      <c r="B14" s="1"/>
      <c r="F14" s="6"/>
      <c r="G14" s="6"/>
    </row>
    <row r="15" spans="1:10" ht="16.5" customHeight="1" x14ac:dyDescent="0.4">
      <c r="B15" s="1"/>
      <c r="F15" s="6"/>
    </row>
    <row r="16" spans="1:10" ht="15" x14ac:dyDescent="0.4">
      <c r="B16" s="1"/>
      <c r="F16" s="6"/>
    </row>
    <row r="17" spans="2:6" ht="15" x14ac:dyDescent="0.4">
      <c r="B17" s="1"/>
      <c r="F17" s="6"/>
    </row>
    <row r="24" spans="2:6" ht="15" x14ac:dyDescent="0.4">
      <c r="F24" s="6"/>
    </row>
    <row r="25" spans="2:6" ht="15" x14ac:dyDescent="0.4">
      <c r="F25" s="6"/>
    </row>
    <row r="26" spans="2:6" ht="15" x14ac:dyDescent="0.4">
      <c r="F26" s="6"/>
    </row>
    <row r="27" spans="2:6" ht="15" x14ac:dyDescent="0.4">
      <c r="F27" s="6"/>
    </row>
    <row r="28" spans="2:6" ht="15" x14ac:dyDescent="0.4">
      <c r="F28" s="6"/>
    </row>
    <row r="48" spans="2:2" x14ac:dyDescent="0.4">
      <c r="B48" s="1"/>
    </row>
  </sheetData>
  <phoneticPr fontId="4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75567-3EE6-4AE5-A67E-8E424D63AFCA}">
  <sheetPr codeName="Sheet8"/>
  <dimension ref="A1:I13"/>
  <sheetViews>
    <sheetView workbookViewId="0">
      <selection activeCell="I2" sqref="I2"/>
    </sheetView>
  </sheetViews>
  <sheetFormatPr defaultRowHeight="13.9" x14ac:dyDescent="0.4"/>
  <sheetData>
    <row r="1" spans="1:9" x14ac:dyDescent="0.4">
      <c r="A1" s="2" t="s">
        <v>95</v>
      </c>
      <c r="B1" s="2" t="s">
        <v>107</v>
      </c>
      <c r="C1" s="2"/>
      <c r="D1" s="2" t="s">
        <v>94</v>
      </c>
      <c r="E1" s="2" t="s">
        <v>108</v>
      </c>
    </row>
    <row r="2" spans="1:9" x14ac:dyDescent="0.4">
      <c r="A2" t="s">
        <v>96</v>
      </c>
      <c r="B2">
        <f>COUNTIF('Calls by Month'!C:C, A2)</f>
        <v>1</v>
      </c>
      <c r="D2">
        <v>2015</v>
      </c>
      <c r="E2">
        <f>COUNTIF('Calls by Month'!D:D,D2)</f>
        <v>0</v>
      </c>
      <c r="H2" s="2" t="s">
        <v>109</v>
      </c>
      <c r="I2">
        <f>SUM(E:E)</f>
        <v>5</v>
      </c>
    </row>
    <row r="3" spans="1:9" x14ac:dyDescent="0.4">
      <c r="A3" t="s">
        <v>97</v>
      </c>
      <c r="B3">
        <f>COUNTIF('Calls by Month'!C:C, A3)</f>
        <v>1</v>
      </c>
      <c r="D3">
        <v>2016</v>
      </c>
      <c r="E3">
        <f>COUNTIF('Calls by Month'!D:D,D3)</f>
        <v>0</v>
      </c>
    </row>
    <row r="4" spans="1:9" x14ac:dyDescent="0.4">
      <c r="A4" t="s">
        <v>98</v>
      </c>
      <c r="B4">
        <f>COUNTIF('Calls by Month'!C:C, A4)</f>
        <v>0</v>
      </c>
      <c r="D4">
        <v>2017</v>
      </c>
      <c r="E4">
        <f>COUNTIF('Calls by Month'!D:D,D4)</f>
        <v>0</v>
      </c>
    </row>
    <row r="5" spans="1:9" x14ac:dyDescent="0.4">
      <c r="A5" t="s">
        <v>99</v>
      </c>
      <c r="B5">
        <f>COUNTIF('Calls by Month'!C:C, A5)</f>
        <v>0</v>
      </c>
      <c r="D5">
        <v>2018</v>
      </c>
      <c r="E5">
        <f>COUNTIF('Calls by Month'!D:D,D5)</f>
        <v>1</v>
      </c>
    </row>
    <row r="6" spans="1:9" x14ac:dyDescent="0.4">
      <c r="A6" t="s">
        <v>100</v>
      </c>
      <c r="B6">
        <f>COUNTIF('Calls by Month'!C:C, A6)</f>
        <v>1</v>
      </c>
      <c r="D6">
        <v>2019</v>
      </c>
      <c r="E6">
        <f>COUNTIF('Calls by Month'!D:D,D6)</f>
        <v>1</v>
      </c>
    </row>
    <row r="7" spans="1:9" x14ac:dyDescent="0.4">
      <c r="A7" t="s">
        <v>101</v>
      </c>
      <c r="B7">
        <f>COUNTIF('Calls by Month'!C:C, A7)</f>
        <v>0</v>
      </c>
      <c r="D7">
        <v>2020</v>
      </c>
      <c r="E7">
        <f>COUNTIF('Calls by Month'!D:D,D7)</f>
        <v>1</v>
      </c>
    </row>
    <row r="8" spans="1:9" ht="15" x14ac:dyDescent="0.4">
      <c r="A8" s="8" t="s">
        <v>110</v>
      </c>
      <c r="B8">
        <f>COUNTIF('Calls by Month'!C:C, A8)</f>
        <v>0</v>
      </c>
      <c r="D8">
        <v>2021</v>
      </c>
      <c r="E8">
        <f>COUNTIF('Calls by Month'!D:D,D8)</f>
        <v>2</v>
      </c>
    </row>
    <row r="9" spans="1:9" ht="15" x14ac:dyDescent="0.4">
      <c r="A9" s="8" t="s">
        <v>102</v>
      </c>
      <c r="B9">
        <f>COUNTIF('Calls by Month'!C:C, A9)</f>
        <v>0</v>
      </c>
      <c r="D9">
        <v>2022</v>
      </c>
      <c r="E9">
        <f>COUNTIF('Calls by Month'!D:D,D9)</f>
        <v>0</v>
      </c>
    </row>
    <row r="10" spans="1:9" ht="15" x14ac:dyDescent="0.4">
      <c r="A10" s="8" t="s">
        <v>103</v>
      </c>
      <c r="B10">
        <f>COUNTIF('Calls by Month'!C:C, A10)</f>
        <v>2</v>
      </c>
      <c r="D10">
        <v>2023</v>
      </c>
      <c r="E10">
        <f>COUNTIF('Calls by Month'!D:D,D10)</f>
        <v>0</v>
      </c>
    </row>
    <row r="11" spans="1:9" ht="15" x14ac:dyDescent="0.4">
      <c r="A11" s="8" t="s">
        <v>104</v>
      </c>
      <c r="B11">
        <f>COUNTIF('Calls by Month'!C:C, A11)</f>
        <v>0</v>
      </c>
      <c r="D11">
        <v>2024</v>
      </c>
      <c r="E11">
        <f>COUNTIF('Calls by Month'!D:D,D11)</f>
        <v>0</v>
      </c>
    </row>
    <row r="12" spans="1:9" ht="15" x14ac:dyDescent="0.4">
      <c r="A12" s="8" t="s">
        <v>105</v>
      </c>
      <c r="B12">
        <f>COUNTIF('Calls by Month'!C:C, A12)</f>
        <v>0</v>
      </c>
      <c r="D12">
        <v>2025</v>
      </c>
      <c r="E12">
        <f>COUNTIF('Calls by Month'!D:D,D12)</f>
        <v>0</v>
      </c>
    </row>
    <row r="13" spans="1:9" ht="15" x14ac:dyDescent="0.4">
      <c r="A13" s="8" t="s">
        <v>106</v>
      </c>
      <c r="B13">
        <f>COUNTIF('Calls by Month'!C:C, A13)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E410B-F76D-402C-B11C-99D03E273335}">
  <sheetPr codeName="Sheet3"/>
  <dimension ref="A1"/>
  <sheetViews>
    <sheetView zoomScale="80" zoomScaleNormal="80" workbookViewId="0">
      <selection activeCell="M15" sqref="M15"/>
    </sheetView>
  </sheetViews>
  <sheetFormatPr defaultRowHeight="13.9" x14ac:dyDescent="0.4"/>
  <cols>
    <col min="1" max="16384" width="9" style="16"/>
  </cols>
  <sheetData/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autoPict="0" r:id="rId5">
            <anchor moveWithCells="1">
              <from>
                <xdr:col>12</xdr:col>
                <xdr:colOff>609600</xdr:colOff>
                <xdr:row>0</xdr:row>
                <xdr:rowOff>142875</xdr:rowOff>
              </from>
              <to>
                <xdr:col>14</xdr:col>
                <xdr:colOff>295275</xdr:colOff>
                <xdr:row>2</xdr:row>
                <xdr:rowOff>161925</xdr:rowOff>
              </to>
            </anchor>
          </controlPr>
        </control>
      </mc:Choice>
      <mc:Fallback>
        <control shapeId="819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</vt:lpstr>
      <vt:lpstr>Data</vt:lpstr>
      <vt:lpstr>Calls_by_County</vt:lpstr>
      <vt:lpstr>Calls_by_Service</vt:lpstr>
      <vt:lpstr>Calls by Month</vt:lpstr>
      <vt:lpstr>Formula calls by month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Castro, Sofia</dc:creator>
  <cp:lastModifiedBy>Sindie Castro</cp:lastModifiedBy>
  <dcterms:created xsi:type="dcterms:W3CDTF">2021-07-09T13:48:10Z</dcterms:created>
  <dcterms:modified xsi:type="dcterms:W3CDTF">2021-09-19T16:43:11Z</dcterms:modified>
</cp:coreProperties>
</file>