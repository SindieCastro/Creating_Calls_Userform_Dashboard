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di\Repos\Creating_Calls_Userform_Dashboard\"/>
    </mc:Choice>
  </mc:AlternateContent>
  <xr:revisionPtr revIDLastSave="0" documentId="13_ncr:1_{E3236E0E-1701-421A-A90C-986950BA2F76}" xr6:coauthVersionLast="47" xr6:coauthVersionMax="47" xr10:uidLastSave="{00000000-0000-0000-0000-000000000000}"/>
  <bookViews>
    <workbookView xWindow="-12998" yWindow="8" windowWidth="13096" windowHeight="10395" xr2:uid="{F2B5D1CC-DF8C-43F7-BDC9-65FED6F1A1A2}"/>
  </bookViews>
  <sheets>
    <sheet name="Start" sheetId="8" r:id="rId1"/>
    <sheet name="Data" sheetId="1" r:id="rId2"/>
    <sheet name="Calls_by_County" sheetId="4" r:id="rId3"/>
    <sheet name="Calls_by_Service" sheetId="5" r:id="rId4"/>
    <sheet name="Calls by Month" sheetId="7" r:id="rId5"/>
    <sheet name="Formula calls by month" sheetId="10" r:id="rId6"/>
    <sheet name="Dashboard" sheetId="6" r:id="rId7"/>
  </sheets>
  <definedNames>
    <definedName name="_xlchart.v1.0" hidden="1">'Formula calls by month'!$A$2:$A$13</definedName>
    <definedName name="_xlchart.v1.1" hidden="1">'Formula calls by month'!$B$2:$B$13</definedName>
    <definedName name="_xlchart.v5.2" hidden="1">Calls_by_County!$A$1:$B$1</definedName>
    <definedName name="_xlchart.v5.3" hidden="1">Calls_by_County!$A$2:$B$68</definedName>
    <definedName name="_xlchart.v5.4" hidden="1">Calls_by_County!$C$1</definedName>
    <definedName name="_xlchart.v5.5" hidden="1">Calls_by_County!$C$2:$C$68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7" l="1"/>
  <c r="C6" i="7"/>
  <c r="D5" i="7"/>
  <c r="C5" i="7"/>
  <c r="D4" i="7"/>
  <c r="C4" i="7"/>
  <c r="D3" i="7"/>
  <c r="C3" i="7"/>
  <c r="D2" i="7" l="1"/>
  <c r="C2" i="7"/>
  <c r="E10" i="10" l="1"/>
  <c r="E5" i="10"/>
  <c r="E12" i="10"/>
  <c r="E3" i="10"/>
  <c r="E9" i="10"/>
  <c r="E8" i="10"/>
  <c r="E4" i="10"/>
  <c r="E11" i="10"/>
  <c r="E6" i="10"/>
  <c r="E7" i="10"/>
  <c r="E2" i="10"/>
  <c r="B8" i="10"/>
  <c r="B2" i="10"/>
  <c r="B6" i="10"/>
  <c r="B13" i="10"/>
  <c r="B5" i="10"/>
  <c r="B4" i="10"/>
  <c r="B11" i="10"/>
  <c r="B3" i="10"/>
  <c r="B12" i="10"/>
  <c r="B10" i="10"/>
  <c r="B9" i="10"/>
  <c r="B7" i="10"/>
  <c r="B2" i="5"/>
  <c r="C2" i="4"/>
  <c r="B15" i="5"/>
  <c r="B3" i="5"/>
  <c r="B4" i="5"/>
  <c r="B5" i="5"/>
  <c r="B6" i="5"/>
  <c r="B7" i="5"/>
  <c r="B8" i="5"/>
  <c r="B9" i="5"/>
  <c r="B10" i="5"/>
  <c r="B11" i="5"/>
  <c r="B12" i="5"/>
  <c r="B13" i="5"/>
  <c r="B14" i="5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I2" i="10" l="1"/>
</calcChain>
</file>

<file path=xl/sharedStrings.xml><?xml version="1.0" encoding="utf-8"?>
<sst xmlns="http://schemas.openxmlformats.org/spreadsheetml/2006/main" count="195" uniqueCount="122">
  <si>
    <t>County</t>
  </si>
  <si>
    <t>Outcome</t>
  </si>
  <si>
    <t>Date</t>
  </si>
  <si>
    <t>First Name</t>
  </si>
  <si>
    <t>Last Name</t>
  </si>
  <si>
    <t>Phone Number</t>
  </si>
  <si>
    <t>Service</t>
  </si>
  <si>
    <t>ID</t>
  </si>
  <si>
    <t>Disaster</t>
  </si>
  <si>
    <t>Government &amp; Legal</t>
  </si>
  <si>
    <t>Wakulla</t>
  </si>
  <si>
    <t>Leon</t>
  </si>
  <si>
    <t>Services</t>
  </si>
  <si>
    <t>State</t>
  </si>
  <si>
    <t>Florida</t>
  </si>
  <si>
    <t>Volusia</t>
  </si>
  <si>
    <t>Total</t>
  </si>
  <si>
    <t>Food</t>
  </si>
  <si>
    <t>Education</t>
  </si>
  <si>
    <t>Healthcare &amp; Covid-19</t>
  </si>
  <si>
    <t>Alachua</t>
  </si>
  <si>
    <t>Baker</t>
  </si>
  <si>
    <t>Bay</t>
  </si>
  <si>
    <t>Bradford</t>
  </si>
  <si>
    <t>Brevard</t>
  </si>
  <si>
    <t>Broward</t>
  </si>
  <si>
    <t>Calhoun</t>
  </si>
  <si>
    <t>Charlotte</t>
  </si>
  <si>
    <t>Citrus</t>
  </si>
  <si>
    <t>Clay</t>
  </si>
  <si>
    <t>Collier</t>
  </si>
  <si>
    <t>Columbia</t>
  </si>
  <si>
    <t>DeSoto</t>
  </si>
  <si>
    <t>Dixie</t>
  </si>
  <si>
    <t>Duval</t>
  </si>
  <si>
    <t>Escambia</t>
  </si>
  <si>
    <t>Flagler</t>
  </si>
  <si>
    <t>Franklin</t>
  </si>
  <si>
    <t>Gadsden</t>
  </si>
  <si>
    <t>Gilchrist</t>
  </si>
  <si>
    <t>Glades</t>
  </si>
  <si>
    <t>Gulf</t>
  </si>
  <si>
    <t>Hamilton</t>
  </si>
  <si>
    <t>Hardee</t>
  </si>
  <si>
    <t>Hendry</t>
  </si>
  <si>
    <t>Hernando</t>
  </si>
  <si>
    <t>Highlands</t>
  </si>
  <si>
    <t>Hillsborough</t>
  </si>
  <si>
    <t>Holmes</t>
  </si>
  <si>
    <t>Indian River</t>
  </si>
  <si>
    <t>Jackson</t>
  </si>
  <si>
    <t>Jefferson</t>
  </si>
  <si>
    <t>Lafayette</t>
  </si>
  <si>
    <t>Lake</t>
  </si>
  <si>
    <t>Lee</t>
  </si>
  <si>
    <t>Levy</t>
  </si>
  <si>
    <t>Liberty</t>
  </si>
  <si>
    <t>Madison</t>
  </si>
  <si>
    <t>Manatee</t>
  </si>
  <si>
    <t>Marion</t>
  </si>
  <si>
    <t>Martin</t>
  </si>
  <si>
    <t>Miami-Dade</t>
  </si>
  <si>
    <t>Monroe</t>
  </si>
  <si>
    <t>Nassau</t>
  </si>
  <si>
    <t>Okaloosa</t>
  </si>
  <si>
    <t>Okeechobee</t>
  </si>
  <si>
    <t>Orange</t>
  </si>
  <si>
    <t>Osceola</t>
  </si>
  <si>
    <t>Palm Beach</t>
  </si>
  <si>
    <t>Pasco</t>
  </si>
  <si>
    <t>Pinellas</t>
  </si>
  <si>
    <t>Polk</t>
  </si>
  <si>
    <t>Putnam</t>
  </si>
  <si>
    <t>Santa Rosa</t>
  </si>
  <si>
    <t>Sarasota</t>
  </si>
  <si>
    <t>Seminole</t>
  </si>
  <si>
    <t>Sumter</t>
  </si>
  <si>
    <t>Suwannee</t>
  </si>
  <si>
    <t>Taylor</t>
  </si>
  <si>
    <t>Union</t>
  </si>
  <si>
    <t>Walton</t>
  </si>
  <si>
    <t>Washington</t>
  </si>
  <si>
    <t>St.Johns</t>
  </si>
  <si>
    <t>St.Lucie</t>
  </si>
  <si>
    <t>Child Care &amp; Parenting</t>
  </si>
  <si>
    <t>Clothing &amp; Household</t>
  </si>
  <si>
    <t>Employment &amp; Income</t>
  </si>
  <si>
    <t>Housing &amp; Shelter</t>
  </si>
  <si>
    <t>Mental Health</t>
  </si>
  <si>
    <t>Substance Abuse</t>
  </si>
  <si>
    <t>Transportation Assistance</t>
  </si>
  <si>
    <t>Utilities</t>
  </si>
  <si>
    <t>Other</t>
  </si>
  <si>
    <t>Month</t>
  </si>
  <si>
    <t>Year</t>
  </si>
  <si>
    <t>Month list</t>
  </si>
  <si>
    <t>January</t>
  </si>
  <si>
    <t>February</t>
  </si>
  <si>
    <t>March</t>
  </si>
  <si>
    <t>April</t>
  </si>
  <si>
    <t>May</t>
  </si>
  <si>
    <t>June</t>
  </si>
  <si>
    <t>August</t>
  </si>
  <si>
    <t>September</t>
  </si>
  <si>
    <t>October</t>
  </si>
  <si>
    <t>November</t>
  </si>
  <si>
    <t>December</t>
  </si>
  <si>
    <t>Count Month</t>
  </si>
  <si>
    <t>Year Count</t>
  </si>
  <si>
    <t>Total Calls</t>
  </si>
  <si>
    <t>July</t>
  </si>
  <si>
    <t>Time</t>
  </si>
  <si>
    <t>Region</t>
  </si>
  <si>
    <t>ME</t>
  </si>
  <si>
    <t>Staff</t>
  </si>
  <si>
    <t>Jane</t>
  </si>
  <si>
    <t>Doe</t>
  </si>
  <si>
    <t>555-555-5555</t>
  </si>
  <si>
    <t>Caller wanted information about education in her area.</t>
  </si>
  <si>
    <t>Region3</t>
  </si>
  <si>
    <t>Organization3</t>
  </si>
  <si>
    <t>Sofia Homes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</si>
</sst>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2"/>
      <color rgb="FF202124"/>
      <name val="Arial"/>
      <family val="2"/>
    </font>
    <font>
      <sz val="11"/>
      <color theme="8" tint="0.79998168889431442"/>
      <name val="Tw Cen MT"/>
      <family val="2"/>
      <scheme val="minor"/>
    </font>
    <font>
      <sz val="8"/>
      <name val="Tw Cen MT"/>
      <family val="2"/>
      <scheme val="minor"/>
    </font>
    <font>
      <sz val="12"/>
      <color rgb="FF202124"/>
      <name val="Tw Cen M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4" fontId="1" fillId="0" borderId="0" xfId="0" applyNumberFormat="1" applyFont="1"/>
    <xf numFmtId="0" fontId="2" fillId="0" borderId="0" xfId="0" applyFont="1"/>
    <xf numFmtId="0" fontId="0" fillId="0" borderId="0" xfId="0" applyNumberFormat="1"/>
    <xf numFmtId="0" fontId="5" fillId="0" borderId="0" xfId="0" applyFont="1"/>
    <xf numFmtId="0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Font="1" applyAlignment="1"/>
    <xf numFmtId="0" fontId="0" fillId="0" borderId="0" xfId="0" applyAlignment="1"/>
    <xf numFmtId="18" fontId="0" fillId="0" borderId="0" xfId="0" applyNumberFormat="1"/>
    <xf numFmtId="0" fontId="3" fillId="2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F27A5"/>
      <color rgb="FFCA26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Calls</a:t>
            </a:r>
            <a:r>
              <a:rPr lang="en-US" baseline="0"/>
              <a:t> by Service</a:t>
            </a:r>
            <a:endParaRPr lang="en-US"/>
          </a:p>
        </c:rich>
      </c:tx>
      <c:layout>
        <c:manualLayout>
          <c:xMode val="edge"/>
          <c:yMode val="edge"/>
          <c:x val="0.49368361485507239"/>
          <c:y val="4.84261624312628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097659667541558"/>
          <c:y val="2.1257328749399281E-2"/>
          <c:w val="0.63780550205312803"/>
          <c:h val="0.9787426712506007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Calls_by_Service!$B$1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Up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 w="19050">
              <a:solidFill>
                <a:schemeClr val="lt1"/>
              </a:solidFill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Calls_by_Service!$A$2:$A$15</c:f>
              <c:strCache>
                <c:ptCount val="14"/>
                <c:pt idx="0">
                  <c:v>Child Care &amp; Parenting</c:v>
                </c:pt>
                <c:pt idx="1">
                  <c:v>Clothing &amp; Household</c:v>
                </c:pt>
                <c:pt idx="2">
                  <c:v>Disaster</c:v>
                </c:pt>
                <c:pt idx="3">
                  <c:v>Education</c:v>
                </c:pt>
                <c:pt idx="4">
                  <c:v>Employment &amp; Income</c:v>
                </c:pt>
                <c:pt idx="5">
                  <c:v>Food</c:v>
                </c:pt>
                <c:pt idx="6">
                  <c:v>Government &amp; Legal</c:v>
                </c:pt>
                <c:pt idx="7">
                  <c:v>Healthcare &amp; Covid-19</c:v>
                </c:pt>
                <c:pt idx="8">
                  <c:v>Housing &amp; Shelter</c:v>
                </c:pt>
                <c:pt idx="9">
                  <c:v>Mental Health</c:v>
                </c:pt>
                <c:pt idx="10">
                  <c:v>Substance Abuse</c:v>
                </c:pt>
                <c:pt idx="11">
                  <c:v>Transportation Assistance</c:v>
                </c:pt>
                <c:pt idx="12">
                  <c:v>Utilities</c:v>
                </c:pt>
                <c:pt idx="13">
                  <c:v>Other</c:v>
                </c:pt>
              </c:strCache>
            </c:strRef>
          </c:cat>
          <c:val>
            <c:numRef>
              <c:f>Calls_by_Service!$B$2:$B$15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D-40B2-98AC-519780666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0112672"/>
        <c:axId val="1306008224"/>
      </c:barChart>
      <c:valAx>
        <c:axId val="130600822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112672"/>
        <c:crosses val="autoZero"/>
        <c:crossBetween val="between"/>
      </c:valAx>
      <c:catAx>
        <c:axId val="116011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0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97659667541558"/>
          <c:y val="2.1257328749399281E-2"/>
          <c:w val="0.63780550205312803"/>
          <c:h val="0.97874267125060077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Calls_by_Service!$B$1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pattFill prst="ltUpDiag">
                <a:fgClr>
                  <a:schemeClr val="accent4">
                    <a:shade val="39000"/>
                  </a:schemeClr>
                </a:fgClr>
                <a:bgClr>
                  <a:schemeClr val="accent4">
                    <a:shade val="39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39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777-4ECD-889E-9469D1A33DEB}"/>
              </c:ext>
            </c:extLst>
          </c:dPt>
          <c:dPt>
            <c:idx val="1"/>
            <c:invertIfNegative val="0"/>
            <c:bubble3D val="0"/>
            <c:spPr>
              <a:pattFill prst="ltUpDiag">
                <a:fgClr>
                  <a:schemeClr val="accent4">
                    <a:shade val="48000"/>
                  </a:schemeClr>
                </a:fgClr>
                <a:bgClr>
                  <a:schemeClr val="accent4">
                    <a:shade val="4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4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777-4ECD-889E-9469D1A33DEB}"/>
              </c:ext>
            </c:extLst>
          </c:dPt>
          <c:dPt>
            <c:idx val="2"/>
            <c:invertIfNegative val="0"/>
            <c:bubble3D val="0"/>
            <c:spPr>
              <a:pattFill prst="ltUpDiag">
                <a:fgClr>
                  <a:schemeClr val="accent4">
                    <a:shade val="58000"/>
                  </a:schemeClr>
                </a:fgClr>
                <a:bgClr>
                  <a:schemeClr val="accent4">
                    <a:shade val="5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5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777-4ECD-889E-9469D1A33DEB}"/>
              </c:ext>
            </c:extLst>
          </c:dPt>
          <c:dPt>
            <c:idx val="3"/>
            <c:invertIfNegative val="0"/>
            <c:bubble3D val="0"/>
            <c:spPr>
              <a:pattFill prst="ltUpDiag">
                <a:fgClr>
                  <a:schemeClr val="accent4">
                    <a:shade val="67000"/>
                  </a:schemeClr>
                </a:fgClr>
                <a:bgClr>
                  <a:schemeClr val="accent4">
                    <a:shade val="67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67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777-4ECD-889E-9469D1A33DEB}"/>
              </c:ext>
            </c:extLst>
          </c:dPt>
          <c:dPt>
            <c:idx val="4"/>
            <c:invertIfNegative val="0"/>
            <c:bubble3D val="0"/>
            <c:spPr>
              <a:pattFill prst="ltUpDiag">
                <a:fgClr>
                  <a:schemeClr val="accent4">
                    <a:shade val="76000"/>
                  </a:schemeClr>
                </a:fgClr>
                <a:bgClr>
                  <a:schemeClr val="accent4">
                    <a:shade val="7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7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777-4ECD-889E-9469D1A33DEB}"/>
              </c:ext>
            </c:extLst>
          </c:dPt>
          <c:dPt>
            <c:idx val="5"/>
            <c:invertIfNegative val="0"/>
            <c:bubble3D val="0"/>
            <c:spPr>
              <a:pattFill prst="ltUpDiag">
                <a:fgClr>
                  <a:schemeClr val="accent4">
                    <a:shade val="86000"/>
                  </a:schemeClr>
                </a:fgClr>
                <a:bgClr>
                  <a:schemeClr val="accent4">
                    <a:shade val="8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8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777-4ECD-889E-9469D1A33DEB}"/>
              </c:ext>
            </c:extLst>
          </c:dPt>
          <c:dPt>
            <c:idx val="6"/>
            <c:invertIfNegative val="0"/>
            <c:bubble3D val="0"/>
            <c:spPr>
              <a:pattFill prst="ltUpDiag">
                <a:fgClr>
                  <a:schemeClr val="accent4">
                    <a:shade val="95000"/>
                  </a:schemeClr>
                </a:fgClr>
                <a:bgClr>
                  <a:schemeClr val="accent4">
                    <a:shade val="95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shade val="95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777-4ECD-889E-9469D1A33DEB}"/>
              </c:ext>
            </c:extLst>
          </c:dPt>
          <c:dPt>
            <c:idx val="7"/>
            <c:invertIfNegative val="0"/>
            <c:bubble3D val="0"/>
            <c:spPr>
              <a:pattFill prst="ltUpDiag">
                <a:fgClr>
                  <a:schemeClr val="accent4">
                    <a:tint val="96000"/>
                  </a:schemeClr>
                </a:fgClr>
                <a:bgClr>
                  <a:schemeClr val="accent4">
                    <a:tint val="9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9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777-4ECD-889E-9469D1A33DEB}"/>
              </c:ext>
            </c:extLst>
          </c:dPt>
          <c:dPt>
            <c:idx val="8"/>
            <c:invertIfNegative val="0"/>
            <c:bubble3D val="0"/>
            <c:spPr>
              <a:pattFill prst="ltUpDiag">
                <a:fgClr>
                  <a:schemeClr val="accent4">
                    <a:tint val="86000"/>
                  </a:schemeClr>
                </a:fgClr>
                <a:bgClr>
                  <a:schemeClr val="accent4">
                    <a:tint val="86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86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777-4ECD-889E-9469D1A33DEB}"/>
              </c:ext>
            </c:extLst>
          </c:dPt>
          <c:dPt>
            <c:idx val="9"/>
            <c:invertIfNegative val="0"/>
            <c:bubble3D val="0"/>
            <c:spPr>
              <a:pattFill prst="ltUpDiag">
                <a:fgClr>
                  <a:schemeClr val="accent4">
                    <a:tint val="77000"/>
                  </a:schemeClr>
                </a:fgClr>
                <a:bgClr>
                  <a:schemeClr val="accent4">
                    <a:tint val="77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77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777-4ECD-889E-9469D1A33DEB}"/>
              </c:ext>
            </c:extLst>
          </c:dPt>
          <c:dPt>
            <c:idx val="10"/>
            <c:invertIfNegative val="0"/>
            <c:bubble3D val="0"/>
            <c:spPr>
              <a:pattFill prst="ltUpDiag">
                <a:fgClr>
                  <a:schemeClr val="accent4">
                    <a:tint val="68000"/>
                  </a:schemeClr>
                </a:fgClr>
                <a:bgClr>
                  <a:schemeClr val="accent4">
                    <a:tint val="6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6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777-4ECD-889E-9469D1A33DEB}"/>
              </c:ext>
            </c:extLst>
          </c:dPt>
          <c:dPt>
            <c:idx val="11"/>
            <c:invertIfNegative val="0"/>
            <c:bubble3D val="0"/>
            <c:spPr>
              <a:pattFill prst="ltUpDiag">
                <a:fgClr>
                  <a:schemeClr val="accent4">
                    <a:tint val="58000"/>
                  </a:schemeClr>
                </a:fgClr>
                <a:bgClr>
                  <a:schemeClr val="accent4">
                    <a:tint val="58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58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777-4ECD-889E-9469D1A33DEB}"/>
              </c:ext>
            </c:extLst>
          </c:dPt>
          <c:dPt>
            <c:idx val="12"/>
            <c:invertIfNegative val="0"/>
            <c:bubble3D val="0"/>
            <c:spPr>
              <a:pattFill prst="ltUpDiag">
                <a:fgClr>
                  <a:schemeClr val="accent4">
                    <a:tint val="49000"/>
                  </a:schemeClr>
                </a:fgClr>
                <a:bgClr>
                  <a:schemeClr val="accent4">
                    <a:tint val="49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49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9-8777-4ECD-889E-9469D1A33DEB}"/>
              </c:ext>
            </c:extLst>
          </c:dPt>
          <c:dPt>
            <c:idx val="13"/>
            <c:invertIfNegative val="0"/>
            <c:bubble3D val="0"/>
            <c:spPr>
              <a:pattFill prst="ltUpDiag">
                <a:fgClr>
                  <a:schemeClr val="accent4">
                    <a:tint val="40000"/>
                  </a:schemeClr>
                </a:fgClr>
                <a:bgClr>
                  <a:schemeClr val="accent4">
                    <a:tint val="4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tint val="4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B-8777-4ECD-889E-9469D1A33DEB}"/>
              </c:ext>
            </c:extLst>
          </c:dPt>
          <c:cat>
            <c:strRef>
              <c:f>Calls_by_Service!$A$2:$A$15</c:f>
              <c:strCache>
                <c:ptCount val="14"/>
                <c:pt idx="0">
                  <c:v>Child Care &amp; Parenting</c:v>
                </c:pt>
                <c:pt idx="1">
                  <c:v>Clothing &amp; Household</c:v>
                </c:pt>
                <c:pt idx="2">
                  <c:v>Disaster</c:v>
                </c:pt>
                <c:pt idx="3">
                  <c:v>Education</c:v>
                </c:pt>
                <c:pt idx="4">
                  <c:v>Employment &amp; Income</c:v>
                </c:pt>
                <c:pt idx="5">
                  <c:v>Food</c:v>
                </c:pt>
                <c:pt idx="6">
                  <c:v>Government &amp; Legal</c:v>
                </c:pt>
                <c:pt idx="7">
                  <c:v>Healthcare &amp; Covid-19</c:v>
                </c:pt>
                <c:pt idx="8">
                  <c:v>Housing &amp; Shelter</c:v>
                </c:pt>
                <c:pt idx="9">
                  <c:v>Mental Health</c:v>
                </c:pt>
                <c:pt idx="10">
                  <c:v>Substance Abuse</c:v>
                </c:pt>
                <c:pt idx="11">
                  <c:v>Transportation Assistance</c:v>
                </c:pt>
                <c:pt idx="12">
                  <c:v>Utilities</c:v>
                </c:pt>
                <c:pt idx="13">
                  <c:v>Other</c:v>
                </c:pt>
              </c:strCache>
            </c:strRef>
          </c:cat>
          <c:val>
            <c:numRef>
              <c:f>Calls_by_Service!$B$2:$B$15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0-440E-9A69-064494DF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0112672"/>
        <c:axId val="1306008224"/>
      </c:barChart>
      <c:valAx>
        <c:axId val="1306008224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112672"/>
        <c:crosses val="autoZero"/>
        <c:crossBetween val="between"/>
      </c:valAx>
      <c:catAx>
        <c:axId val="116011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00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'Formula calls by month'!$D$2:$D$12</c:f>
              <c:numCache>
                <c:formatCode>General</c:formatCod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</c:numCache>
            </c:numRef>
          </c:cat>
          <c:val>
            <c:numRef>
              <c:f>'Formula calls by month'!$E$2:$E$12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B2-4758-99AB-A31FD69852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0"/>
        <c:shape val="box"/>
        <c:axId val="1428968928"/>
        <c:axId val="1459746464"/>
        <c:axId val="0"/>
      </c:bar3DChart>
      <c:catAx>
        <c:axId val="142896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746464"/>
        <c:crosses val="autoZero"/>
        <c:auto val="1"/>
        <c:lblAlgn val="ctr"/>
        <c:lblOffset val="100"/>
        <c:noMultiLvlLbl val="0"/>
      </c:catAx>
      <c:valAx>
        <c:axId val="14597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896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</cx:f>
        <cx:nf>_xlchart.v5.2</cx:nf>
      </cx:strDim>
      <cx:numDim type="colorVal">
        <cx:f>_xlchart.v5.5</cx:f>
        <cx:nf>_xlchart.v5.4</cx:nf>
      </cx:numDim>
    </cx:data>
  </cx:chartData>
  <cx:chart>
    <cx:title pos="t" align="ctr" overlay="0">
      <cx:tx>
        <cx:txData>
          <cx:v>Calls by County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Calls by County</a:t>
          </a:r>
        </a:p>
      </cx:txPr>
    </cx:title>
    <cx:plotArea>
      <cx:plotAreaRegion>
        <cx:plotSurface>
          <cx:spPr>
            <a:noFill/>
          </cx:spPr>
        </cx:plotSurface>
        <cx:series layoutId="regionMap" uniqueId="{7029F34F-D214-4868-8D9C-7E08FEB27F6C}">
          <cx:tx>
            <cx:txData>
              <cx:f>_xlchart.v5.4</cx:f>
              <cx:v>Total</cx:v>
            </cx:txData>
          </cx:tx>
          <cx:dataId val="0"/>
          <cx:layoutPr>
            <cx:geography cultureLanguage="en-US" cultureRegion="US" attribution="Powered by Bing">
              <cx:geoCache provider="{E9337A44-BEBE-4D9F-B70C-5C5E7DAFC167}">
                <cx:binary>3H1Zc9s4t+1fSeX50k2AIACeOn2qLqnJsx0PSfcLS7EdzvPMX38W5TifRalttaP7cPXQbsfSBjex
gI09478f2v96CJ+W+ac2CuPivx7aPz+7ZZn+1x9/FA/uU7QsjiLvIU+K5Ed59JBEfyQ/fngPT388
5svGi50/qErYHw/uMi+f2s//898YzXlKzpKHZekl8XX1lHdfnooqLIs3Ptv60aflY+TFE68oc++h
JH9+noVJ7j0uP69/QP/8/H/D5YNb4YOnuPTK7rZLn/78vEZNP3/6Y/yQDYY+heC5rB5BTI0jrhND
6FwjgmiSi8+fwiR2fn6sSHqkUV0lhtQ4o7qQ5OXhF8sI9D85+mQlVVx2L59tZWzF1vLxMX8qCrzZ
6v+bA6y9Dabi7B9n4dczH4ZnD7PvAIg/P9/FXvn0+OmmXJZPxedPXpGsmMs7Kxne+O5mNUV/rOP3
P/89+gMmbfSXVxCPZ/i9j9aBfAvh82UMtp/enMh/ibA4YlIanBKhMU4MwjYQ1jkVWAKMD/gT4+Xh
zwj/5OjXbL+x9LYjPB5gB4THJIeEsLkMnvKXKd66Uf4dvpp6RKWqco1Tg+iqZmCHjnYwIRzAqlxn
1OBSvjz8Gd8VPx9Hd518B2zXCQ4JWQtnQ5iU5V53Lz8yJJFCAmOuGZwBvTG6KlEFo/iSvo7sL34+
ju7mEDsgvEl0SCiby7ePuX+9e4nUKSFEEs5UToHhGr76kdBUqTGDq4Y2Rhi8fBzb18Q7oPr664eE
p7UMXSgQL1tnPxKZMV0SSqmuMYKjdQNTlQ2AqhSaF+U6f3n4s0T+ydHHkR0PsAO6Y5JDQvg8ifNk
r0KZHek6UzUNahMj0mDjTUuO8IEmqK5LfXPXPvPzcXhH9DugO6I4JHDNfPn4I8kfX7bQHvYvbCKD
GYBXaIJIysl4/9IjosIgogJKF76xIZV/svRxhF9e6tcIO2C8QXNYKCfNcr8g8yNCGeGUC80YDNzx
HlaPCNOwf6mqqzB7h4P52fT5qTbnK45+IfSvzSJzNMBOEK8/87AQfqr3jLA8gs5EpFQFNqtmyLHh
qx7hI92AUWRoK+VrjPCKo99BeH2AnRBeJzkkhM+ekr1rWTB8VOxRiGKyYRmxIyoGIf3ziNZGnquB
nY9ju0a9A7Br3z8kVC2vzCu42d6Qf//OIqLySGqSUSqETrnU9bFghkeSUckMoRGo2RqBy/O1YH5m
6OPIjuh3wHZEcUjonsPb7e1z11JxRAxD54aA8cMk08b+DHizdAaVikiNqHBJbngjB4Y+ju7zC/2i
3wHdEcUhoWuFe/VlDHqzlNCpoBRj7xrayOwlR1xSeCqltsUoGnj5BcsbwmS7j3mNegdQ175/SJDe
lEdn1YP39CIT92EOIYDABBxU0JWIrlMxxlU9gqlENbg0hCrUDYEMlj6tePo4vJtD7IDxJtEhAb1I
wmgIb72xVf7duYs4gjA0VdNh7tCVcB5tX/2IC4SROIMTGs6NkT30zM/HIR7R74DviOKQwLWSMPT2
GiWiMHeZYDphKmweiGD4HNf8zIPLSmdMYgXAb7npk3zm6OP4/nylXwPsAPCY5MAQrqLv3j5D+djA
MHY5HBaa1IeAEFSnNYjpEYdDi+nG1lgCZnvF0S+E3pAs/3AIj0fYDeP1px4SyJOnm6RM9iijoT0j
jM9h/yDmxwypjm0jciSRyMG5VA0VutbY5n1m6OMIj+h3wHdEcVDoeu1+9Syk4iCIzyCGKdW4Rsem
kQaPpaoyuCQp/NOr/f3a8J0M/PwGtmvku0C7RnBQyFb1MtzjtoVkRhKVwYWAfIYKJceSGZaRzgVH
ngbCRrCO4KlcQ3bg5zeQXSPfBdk1gkNC9h5HVLHXUxdGr4rcDEPTNKkSyjfiCOQI/mWK7BsK45gi
kLCO7U+OPo7ueIAd8B2THBLC0+JhuX/FCpkZSKGD/UsGBWtsAK9OZWxgBncWExu68wtLH8d4Y4Qd
QN6gOSSUZ+HSCfdrIBlHjMOyVRG0X23jMcjYx5wRlQsdR/Cwkdf38U+OPo7xeIAdIB6THBTC+TIO
wv36no0jpGQg2Iu4rypxFI/j+gz+S40Y9B/28ewnS7+B8XiEXUAe0xwSyvPlY/H4tM8AA3QtXSKX
Di5JBAbhk8R5u2YFI3dHDkawynQsAzJOvvrJ0ccxHg+wA8RjkkNC+OTpx4+nvNh36FdncFQZGrJe
DcR3x5F9DWYwYoec6GLlyxrpXL94+jjKm0PsgPMm0SEhPffCBzdHFcvLwbiP2ANsYoLIgo7z1pAU
hvFoN9NVDgdRsduNQfMaIf2Lp48jvTnEDkhvEh0U0lX4Y78gw4BCrqTkkq3cViOQ9SMNahmiwT/z
dMYgg53fwPc19S7Qvv7+QaEaLh/3GlFCzAGJ60jR0OVzquR485IjpFEyCGr4rbfYTfMVQ7+B7Dr9
LtiuUxwSujdVs4zjvVaWQdUaXBscubJItOLbKssMyRmKBil7jgy/CI3nFMoXlj6O8MYIO2C8QXNI
KC+WkReWe1e2iERUUEWirGBIqRxJZ4psaV3At4noMSxodVTN8MLSx1HeGGEHlDdoDgvl/HGvOxlx
JRQ0wEGJ6DBqzYwBwzWjCXElwI8CYGoMJYQbwX9k7j79RuxhsU6/E75rTzwodJ/ix7x7EZX7UKL5
EWKGElF/YIsqYLnp2hqiDgTpAXxIuRtXiC5WDP3G/l2n3wXddYrDQjePl/HjXqPCcti9EnFDRIVV
1RBjvxYyZoE8Mmmpgf9tuDwWT88s/Q7CoxF2wnhEc0go3yzjcvnpS1LsOcEDUWHEgIkGF+WWMKI4
UplGNMQpkIK5Wen9H6Y+jvSWMXbAegvVIaG98Bw3xKbeZzoejmTkU8KnAT8XdrUuN49kNqRrEcng
zhzy4F9OjGfl+hdPH8d6c4gdoN4kOiykw7D4nuRJ5bgv872PE1pAh0bKFjya8HFsiTDSIxQUQ8XW
JLxhmxHGhfcftn4H7y2j7AT5FrpDQv04fvSW8acvXr3fkKNAwg/iUEj4UPnKuznSupE2Al1ccKqh
tcdmqOI1Wx9HfesoO6C+le6QUL+ponK/eKMgEeLc0HQk6MFmHkT2mpWFumLUvOhC1xG5GBLqX0TM
i79kYOjjSD+/0C/6HTAeURwSuifLh2DvUSmUrOkaasL5kGvNx/DqRxDwKiqbtrs7f3L0C59/nX87
HmAHgMckh4Tw2fLHsnvabzseuDxV7Fu07xg6LuEkHmtlyNGEqxMJmlgCW9ql/eLp4yhvDrEDzptE
h4V0sNeCJ1SgYpvCF0Lp4O/cqFFErYRGNTTbWi2BjaDjGTp8/Q6+r6h3gvbV9w8J1ZsndEVMwr0j
i3YAQBU2E4zl0QGMHC9UFatIwuUohNpwlLxw9HFwN0bYAeANmkMC+Wy/fmyOdAGkgxjYtENPw018
JYQyUvggpCW83SMFC8x8HNrXxDug+vrrhwQoum/uO/ykUlSz4FBFZctgK432LJybmipQf2oYhrqp
NK/4+Tiq6+Q74LpOcEjInj3Ve41KIOGWSVS6ENQkwmkpxtkBQ7ka7KGVHB533xl4+Tioa9Q7YLr2
/UOC9GaZL4uk3KeTGn5LWEAQsCiIgIRd1QmPjFx9iEVxHfFihC3GDR5eWPo4uhsj7IDwBs0hoXzm
fX/K32nO/K9rxRFoQEdSnSNyOPgsRkIZmdQCBy3OYu2lFPV1QdNPjj6O8XiAHSAekxwSwufLR7S5
3nMaNQLBOsohkCot0D94BLB2hORpVUdZk5Bi0JjXXVU/Gfo4wOMBdgB4THJYAOf7VatQtobU6SGy
hHwAHX1KN9UqoiHggCTqwRO50e4BXXHA0O/gu0a/E7xrFAeFroe0LWWC9MuXXbSPmBI6B6NWCRoz
WpQKlWx0sUS7AASdfrZhGmf0nP9i6Tcw3hxjF5w3qQ4J64tlUSyrPeIMlyRH9Ai1EJwJgWaVY1FN
EDtEK0tEklChin60I1H9zNDHUR7R74DwiOKQ0L0MlmGy96wPgWbR8Gmw5+SdsZ3Ej+CBhJRGgHjI
3BubSi8sfRzhjRF2wHiD5rBQfnp6cJPv+/VdoYoYm1TCq4xmpOjCNN7HaFdKcR5DaEMtG1rSvgiR
5+jgZfDC1O8gvTHGTlhvUB0U2ijAdPZ6MiNfD0mY2grEjYb/5EhDmwhYT0jy2nKpw+WKm9+AeJ1+
F3jXKQ4K2uLhKQn36v6QqImAUwPiGiGkre0gGGqZENtH3tbQ42W8i585+g18RwPsAvCI5JAQvlqG
0SfzCddmvUjLfajWSKhG/AjZWgZ9iSOs+biGKDHDMnguTsWZ/PLwZ1H9H6Y+jvOWMXaAegvVQaHt
xU9huNxzHqaBi3fQ+QNOTXTo0cYxJYrGeehoK6iAEb2pfl39ZOk3kB6PsAvOY5qDQnlZPOw5fx7V
pWithS7iXOVIph05uwAxYhSIDEuyLS/rauDnN/BdI98F3DWCg0I2CYMXUbkPOY20WtRDDP7L5749
MH3X5DTKmhAt1iR6FaOEbaNd3hXY+Q1cX1PvAuvr7x8UqlUZL6N94oquAAxNaofiYjYgtwErZLWE
q+NZwxpbxFcrfn4D2HX6XaBdpzgkcNFl+SRx470eucYRmm2p6OmA4PDP0obRtkWPS3Skfs6wG8M7
9H1esfRxhDeH2AHkTaJDwvl22eFW2j1uYvgt4ZPGgYqTFwk5hj5WrLQjVI7jFiY0Hx/6EY9hfmbo
4xiP6HcAeERxSOh+XQYVFOc9w4v40dBMHJ5pztWx25LBz4GeHhoucEGgeOPa2Z8cfRzf8QA7ADwm
OSyE998XAFoxLuvQBNpbIlEWnow1KT1csIXqNOhXz20BRkbw1+XA0O/gu0a/E7xrFIeFbuHijvK9
d35A6w7sYYZMWLgzNtps6Uf6Sg37eTPtOJ3y6/KFqd9BeWOMnZDeoPr/AO23WVx77eEKcdyM/o8l
Iv/2Fnh4pNGAiQz1KUMq3pbW8biTZ7h26eU0fnn2s0Pr14X1/8zQ9pbxvwjX3u755d6ejv8317r/
85XvuA/++cb4ybJcTuPSK7tXt76//ek/kL4F3/NEHj/++XlIgYTo/OP1IGvdoX/N4QbN07Io//ys
SLgj4bv4mdI+6FHN0/MHQwEidCt4tyhyeFZJHnGSl+6fnzX0ZkK8GBYUVVdNIZAfUiTV8BFFB0X0
J0c3YyT/IPKIjscvvMFg7pwk/jUbP//9Ka6iq8SLy2Kg/vwpff7a8HZwk3JkKOCaXFRO4Ve0UMbn
D8svkGb4Nvk/TtOqvUyTaqEHYTnJoty7VPzEPy3S7LJsazLhoevOvUgJzjxbJVZFs8RKsmDip1cs
7d1TWlUXShkUpkzzxhJ6Hp/pJbWy0HFNo4qL45LU54WeyUWuxtnccGs5eTXfW94Bc/H6FYaGokND
WLTIQdyG06Fx++tXyDKnN+q+LecqVGirqLxZoETUVOwqNGNKa6vPqFkZ4lEkSvjOs4m67eFD2BB3
4aF97ZCp9frhuebXhER6Oc8zdybrZJ6FWm/mnTsNKWnMynYuU54qZpDFlq15lfX2u299PmBDwj2u
QkU6ICqiXj+/J22QdoyV80gWVxprgglpSGMVMTcj4ShWHhxnXjNRvaiYSj32zHeeP1o/q8nX8Pa4
jxfLEk3k1p/f1mUVhDomX9dL1/Lz+ouTx66pdToxVeZKU9NKZyKk95DXMrSarmNmxOZSncaRVpha
mivvTMl2jobqMGwuGDajGSlb17a1tCznSsK4SfzWncaEZZDnvzb5lkVHsG9Hqw5XfRCczxK9INDg
Y/SYwpFaUWd2NW97kkw6mfjTvOX+fWo3VsBL50R1YvuiLxJL0posqkZprkSet1YoMnqWasydhy3n
p77H5Pxt3oY5f7WngQmuNId8gP0+3Fs/KAav14Se1VRzSVnNi+xR2I5mcsV9QDzF7Dr71kNtncVt
P31nJWxOO+q10J8IrVCQdwqptf5Q2w38RmpJNfeRr2rFthFaqWok07dfbdusIzBrGMipGmp4h89f
iStVFtQnQYBXc1o56SVeI094YYYayd5ZR9tm8fWjRgCj1ZaTOXpYzWXnGWYV1hOn8h9TP0hNTbDC
7DR34rnd+dsvqMF7tgEeUkk4YtQc3d3GArlzAy6bBhsaTe0r01XKeGFE6mnpiWjWp5SZtXHp+l11
nqbNbSmYP+2yegHRYJipIoJJHeratPGVudJwughCYYNvOqs55K6s6sbs2uAs01vVrCujntqK9yN3
tH6u2PTc7trainPnR0F4v+iCq1wmneUEum+Sjnpn0gyd8ppUyt8s073FO28+TOho2WrIslER6pHw
OYyXrSwcTpMSGzekZTAjrXetlbFmug7eSnHr61LNzayplamojdsiZKHps+6qiWsxaVu9nvL4JizK
zFQVg5iVIGYqk2aidX4xcTzNjGssFlrXqlnkfWaFenIhRb9IW9fMMnVCeqqd6ZT5523x4EWxYjmy
URf2t44Xvkn96kyh/te3X5kMmt3mO+PsGoSVjv9GW9U3Qh70eljOk0xE06rqT5vMf2qTLjGL5q73
k8DqK6lYja63i7jDdCj6j84oLtTSm6W9r5w5yWMc4P+q+hf1eDLJU/KXa/dk6mmJZxk6mfFKTyyt
5DNHC8WtUdkLQ/3uK9K9i9qyNhuBc1LJKmpRSLOyjjqL2apqqmV0GhlFaVYKPmN+dN3W8tpI0ruy
OiOBb7K4y0ypiXNaquQ41i3Wnvq9Y1iaK6jpNdlJU9XXTtrcyfo0aI3cSqLKmyTsBsH7O6mHN7mv
6wuDK6nF42pa1tK2kvgkDGLXypkiZr1ItUlCG5yjzLv3rFyS1JRlO+ulc6f53lUl6sucp2bo1b4p
u+ahS2lqKWncTYmTRZg7MxTBCZVXYtLxSFnUaXULl0hpNUp56TTeaVCwaNamd5knerNjoWYmdXjC
1Kw0/b4MzE7PqRnWyheSCMNMDPTg1R8SkV/p7JYnhW5Gmf43JfyW9eybiFzHVIz2OMIlQaYtNG6W
EoPkdXXHHVlPfD335kmUaibklWfGeXkZut07q2pTcKHZ1HCP2NB/G7eejFS6tnD0Sm+wjypWztKo
ncs6UCzitbd2m8uJ46qWHcbxO/J/61NhkHJ4lYYK7NFTjRyrw+gDHLvqfaE111US/qhyftH2yl3O
gq+Bwb+9s3s2dS/ctIWTgBi41JTjViZsrleHQeEYdayEFXQvVpdmHESQbf5NrpTFNF/qou6nhnqq
lkpopnp/9fbDNzcu0vPpoJ6j7g0lN6ON61R67Td1gtcVybc0pzO/o8ox6wNllpb0RC0XQnlUGhG9
M80EftmRxMCDkdsAPRc1Ppjq9ZeOVFuJygbzzCpxYWCHTbUoqq3Q6drjIEZ2L2wGS6/L0gzd/qKA
8DS1OFzy+t7XK/IeN5unPrhBXHYo7CRo7z/iJvCUnvDUKOZtCy0I7dFM1UmDqeEUnhnJDjuzKchF
IdTadFhyGdj2JAylP43c5jbhNJ7roTp5Gxm6DRrowwSN5tEsAKHj9RnKsoT1Xi2KOVyj0gpDZZri
aolZ7dX3qdP9qIuGm0WW2Caup3dw7oVfIy350glbPStC8lfQEsdcFKw8caXSmUFFmCl46pvAdVKq
zi3x6XnpqeICqkg9bxvTLu3oPOvdHy6z26keYOi3X2ml1qwfjQinCdQK4IaE4RbQkS7iMEVRbFcr
5oL1xjyelE51QYQdTeO6wqFMgsSqfS+zao1Fph+2waIvWGaG+rDxI1hrhcqXtIfqwuu4sIJi0qRp
OeFGYUz7SJuIJgxnqh6rk8CxteOKyVuVJmLqcLeftKyDCDPOjFaUCz3BCzvs2NFwrLZhuHAwR4nn
Ru9oXwz+y411PuR94CYBxBhXweHXm9smuRF1sinmdVBYpesuXBGawlW6RZ+Rs7rMLEd32bHbKKFV
xXFrJu4PH2n+uguFv66YsoB63sEKbPkEBmBjYm56s687ajV+8i1qs8r0B2O2dPmsDL8rsrnL3VCe
hDEpplUz6D9cm0RprplUrwNTp6lm8To4kU7jTFO76E3X65Z9EelmGLDcCu1Cm1C1uGkS/vj2Alhp
fRsL4NVsjPZZU4YNc5KumDsVCawu7HKL9iQ3ExE1kzSQ0RRyIbUaOzA5qX3LoAW1UKBwV/vl5du8
6NskPRRwHNKQQrgPbyT6ZFezptOrYm5Eop43THanjAZfK9uY8ox0Z55eCyv1KtvMHQcCISSXUZsE
l8JIjw0WLnowfmYnKqY0NUqYqt2pMCLNzHulN6NBx/HjzGpZ8F2nGMTLkmVJqvrYcFhq2hmXE0zG
LYa9zWXlT3phh5ZbJ7FJZBBPI+n9COOys2xBL8tQt2d6xL9FqZ6b0ig7U+vtdh64IfR39dilEFFo
+xVNkBBszFqjikxP/aoxe0lEcscrH2d7akxFmX2tysLSMtc78zLNYrnzKIkfnrwzt5uLHpFXRF2h
A6NJwuB5er3o0YdfBLYPcSpZsHTsMpkoveqaSQ+d/u0nbRGSCAoNPd3hQ4YxNYD8+uwMAx7nCSnm
qRP/8NPMikS6gOi8ko0bmW7qmnHEXIvF7PbtB29ReeELwyVsSNRkHN1aRrIss50qFbYO8Rzr06r2
C7OSLTsOyuKBaqI1e2lPBK1Kk8cBN3VH9aZRB0vehl5vBWEySYV8ZHrlzfu05Vbn5v408WY2J+47
YnfLQucqGqSjmBbKBQzb9TkqHS+jtq8W89h1DLPJTpPCX9ZqeNUquhV53o9CJO85s1ZKy2inD61P
DFxVBtccCgvWH2rUStF6HnYXqasLVVMnkP0TIbxJz8WZI+3SorxIZ4qhLeBl+EJteUyLuJ40RmCb
WsKuWi0vJ65b1rPchqLZe92tR5rTUnlPBdq01wAkQhM492HwIo68zqlXlbXu1pBJjUzKiZoKDjko
XJOrgWfprv/j7YWzdcXCRJIGGeKa4zOQG37gRFVbzLX4vCnpOWN4Ko35BYSzZoZYv5bRt+FEeW/B
blrkuMoEXlIsVwCCzOH19/QL4iSEpcU86suvTceuiYB1aLsisNw2v4S5YhEH9mfQuorFndI2fb2Y
uLUCO9x2IktGBbc0tZ6pMjjpe56+c1RucUWBwSFhHSk5iBeNpUbTVXrvFgF2lMKWkCo1DJnSnwVp
cQ678cn1oB3XTM44hb0mupuUOROb9elU5LSHhyz8oXWYwrfhYtvwgoYMpGDdStwhsj5tpVPbVIvV
fN5Vjj9To849VmL9OCx6f9J2UF6L0jAs33PUmVOrzgSK43FK4USsfBldddE8prp3o7XtU+W7zU1F
nGvXLooLJz41FK0/zaR70UPSnGVGVk24rcdzD4rmRYxzwfDJeSlJbHqGa5z3KY6JuIYK56kdn7rc
qL8W2XmcwkLwWnh4jouyXIat/q2vwuRY0XxxTzPnsc+8aVATd97EbnseEhxrWt6nZ0k6KTLoAG9P
2Jb5Qt4NetNBJkKXJiO56CrS6/SYZ/Pa0S2t9/xpxfp62sSVayWVfuu51TVX8h9+864Te4uuhcgT
E+h2OFzNNXZiez6Buz8X2Zy3oVj4asUWnmLbc2prgSUTTo6bPD+p66g5CW34NzUt00/cTvv3NhVs
KfRR5kM0YuNkSOO0L1PJsnngdZc5i2ozC1R16jVxYgmXLFsZk4suic98Rot3lusWR/qqRA8XYuhU
wJc/2uW0tx0/qfDwUnS6iQakcyqT737qOGeRk9Gppxix5fT9sV87s9TN3Hd28RYpg0uDUbqA+qPh
gqwR/NCU4tJw9WweVn1kpcaxZlu+LArT8yM6ydV33xim0BZbEjrlkKKJztQa5Pj6FpUBQ6fVnuCZ
dWR8T6jwrSYt+VULp83MK/ObMK7DCWkz41ZBVRSWof2oCdc9Fa2dzZ3WNq58ZRn7qjutos4xG89z
raDRnKuKlmcFyZjpJJVilcL1JqHQlDtpF1ba5boJPTk4U4JW3BdwMRWqnd5QN/xadHVniSL3l2Vr
zLSuCK+LMGoQRUh0nIAqzN649e7iMm2mXho5i4i22teAse81d/VpQ9sYO72S5w4ZBmLEXgZCmfu1
NVzu+wXeHOWW2VAjRaPfe0bgH8P9ZZ/bXuiYScKUK12t8+ue2qFZNdo1AhvZXflDS2Rlem3Nv0rt
vuqJ/1TDr5831Mwr71bAgrhOGl05b3K7ttIohs0tXdv44gujMx2nO3Ur76rvO3JfxMRzoXoa3+zC
j+eaSOAiQrvpy9gI76HJVMe57/QXLVVP9bQiJ2Vp/A0jKDhPSeufyT5UTZyQ8X3b+bdq7lSTqOmN
mUHK7i8XelvUle2SJXoI2UGDSdkrnhmoYWN1XZXc+J54oG7aP6gBuY5l+FeJuuhZTJl33onKO6/a
8jHtisZyqybsTRkl1TRKvR72XlifoCAdFlgZ9vnEC/LO9EnU8qlXt5YIteKkT1Jo9VX4tVT8ak6G
f63+JNxeWr3Nogn6CHkXONm9izJJypMObpLVn4hM9ZNS0nkYe82ZP/xIVFY//7b6mx20k6LO7bnX
ypkfaPoZXI/8bPXbf340kVNP0wY+Oamn0azzBI49mnjndtN55w5r4et0umzq2EFy6raqkpiGUian
mcj/bnkC66W3yxPPaaqT1W99FIXTMKSqGdROf6kkeX9ZBSZN7Oxy9RdE/rpLL/TZQvbBIsn5WRnb
+tV/fmRxZXnQVS5EVLgTvQjaeQz3+6Lo4hY6bsru2kBzF6WI5k1Z9WbZ2Mw2A5hUJ0ad3XdAYOYK
4UxDots3TCYz0sXkq+ImyWnhwpZRoCaraap8KVOifGmT7LoORXme+LFyRXL4jg2vnNutok10R7dv
HTfITtyicKzVPyOo+OddH06qoj3OayVSzFYEzRXUhLzpQsUsfa+6KoKJUP1TWrj2dRYaulkobXhc
p5ltkYwnM1/l/jVLav8aDqZ62nZeP+k7Dvc7r91TTfXqU7tPfatEJtN92PnhPE1SMS1jat9zv1Cs
mJURdCs5L3jb33eMwIXh1P15rNj9PQ2iE4UR4zpS8/w++jsc/sgKNzxuqxibIRXzDObLnWMb3Q0v
YzMXJLvLujybFIETw0eu+VOeVAjRwSS+5IWnXa5+g+rawNYwhSy8GWlK6Eh+p+VnIuvFTGTB31oo
9RMhS34SuSHH+mYmK+3kom4jx0J4LZ/rxJ1EeJe7wUdp0kAK09WdeubHGrlRozgwlfqqStJiavR4
baO2jbvajflEbaWYawEeXHtVOGlJk54rHe1P27SYFfSU5E3gIHpuX5d1Xf3ttOxbXTWnpI/jS95Q
7SIpsE4SKtuJkkfledEkJuOp++jyqDMpc3T4INRsljh6NK2LAhMal9FNH1XXnWz5X5Ev42lRp+2x
0irFN729R1vc6F7z2FRLFTiOY7+e21Em/6rck4x2/G/Ef9tZm/flolCc4JvOEWgf/s41aLlhWvZW
3UKsajIp7jhTOovmtFtUrmemee/fx533NwRJ+Hes2fh6cOPTJL+SJOD3rj/THC+6b6umutakd+52
9ynLyK3MjeRSRu2dU+X2ne71wYVfKg+rf4XM887jIozNyE7opIkVoAHf6zUOGVM43L4xhh9dyQL4
hXp2GiIEOkl9mi+0uConPZxLi5SS7s6wOZt4Xqoh3pZ0dyHTg2ko1O9t00ZWlvjFTdW65Nxg3pe8
qIubcvhBWvgP2kRSy3GC0kpqHW7n2GhOmpgiRjX8069K/8aL0wlv1L+NKK/nmWzFouHGt1aLA9hr
HHuRBlgjTCyIE3jfiycA3Sxqpalw+Eh2ZXMBe1yf5GGhXyAsF5lxG8i5zEqEKZo8m0Lg8TNdkelU
Lz130npOd+nIrLtc/Va7UGSSILT0XvFnXashntcWwVUbpe4lD++NzHFmUa0bcI059FStNXKaUnhs
RCb6CVc4PeEEZ6+RGf3C6CJxqsG/FqTuhehEcuqQID1laaROi8I35k3nW1WgxzOEaItr6qnBRGuZ
OM2oTE8jzrBKRe9erg67hOFT129g6Ntqf7H6oSNuQAJDnatF7pwxI5tKh9BjZtvL3itPuVtGUz97
SpT6gdsEZw78bHiBU6MujqvQzWewqI1JItqpx0rnlKiOM9Fj4ptxEp3Qrl/kMCNMnXlTpTbmmpY+
ekHwJQhsDbHdbub03pPS5fM8bU1dadg0Lhi4gN5Xt8U0EXLR0x7BV9s/K9zia5n5pk3zR78+YzjH
YcBYbcn+qj3+RVW6cAL31zXU+UncIiVFBBRnfq07kww6pBKxM1mVX2lXXvXNEFVOL0PhDKcuIks2
QyaJMHURfJXUXrBef6DUnbPCm7f0xK4NiDXlR1x7Fx2Vj33ZtmasJZbi2FBahWysPCRWq5aphVCo
Z1In+V+uvqu5UaaN8hdRRQ63RGWH8cQbaiJ00xloGn79HvutrW9rbyhJY2tkwtMnIttk62Eqb9cX
kCF6CeTxZd3TZ53aow6YOk/mOEc7e7GijFdQJqa2s6OxKKkL2kgc3Uy8ZrdhNw1pnTBYjtn+F4zz
RUXwV/fMxBVXMRRIvkfYbYCsCf4sJYCV/elqF7vdUvV5mrStUpq80tg/qnWO/TKwPVBBAr225349
k/x3HjBdEsLH8mDLiyj613Q/dO25PehmCmTi+fxdZMyqDWqclvkTo2veHMe2VKLg52UWFx6lFt6k
90Sc+0mOtE3kEdS+2fEHRcEPofwHpBJb5Xkn/LDODnDPYj7+jBvxYP6F58Xi/MKaZCvtHaw0xuTt
7ul7OPm0RiJEVlpFz77xonJOGK1sQCsWfgvX/LHPCP7YBKfqxJlqwonOjR71Y8s80fouMC2sKlv2
np3qQYaPxAOPEEaRdrZhcd1TjIQ4++stVtUyj/55IvKrPJFROR3FY7LHiz8XYMjoyZV9mjZx6Mlq
EstwmvqFlBD+/WoY9VBa4q3NnsG0SI97Ntr14saRVEc0dHqTtzAgn5fjWMpEJBcogf8EpORB8HJe
+d+c0n/RLKdyO4QuVyCLMrOmnTiOcWznL6mNfuhAIWBgTJm8xk/Egxk9FBazbnO18wtTktDDDlY+
AgyJVym6XIu8ldOsan9b2d32Q3uE6U+kOIZy0cnUmjQZSr1aLLtBWgd0y0u9L7eIxqymvvuWBJ7X
Zdv2ZJSNagLnswz0dl0l1iVlszMPiel6wcpo8I/zrNffAgsgVTt5WXbzZCkby5WMWS20ctdp2931
49FM/NoMxXq2M5YeZ+JuOwZ1VS6SV5KB5kJnTAKlriyPPURBxmshtCy1n5mmIIWopQ/NOKeitnww
13wdDFIG82ArmUCC/3hxpZG+qmW4RW7LO3g3+hp4Boqi8nXtF5O+huA3quSbCrvVX+/Z+3+o411d
cTdVTM/AJbhK81I6A2Fcxnn18dlH7kQbZfQ3rAFypYMj1xTcvRRkXmtrbIhxNfg186f5mmgaI973
Hvsw7mgsyR9ymk7hYLxm7vkvOyjRZMOkS25XeV3fd8JEYS4UIk7gonjrdUyy/ST3pBthtnMXbmee
D9BysGaWHkjgJTepKKN09uq8WE+7Qmxk23q/QtNovn5s4Au22RwWJ+MljZs5OZsliRFR40xUbIT/
r00uriTxvhqv39r5/dnHS6DgNyIy2hyGX4nU4nrwUVxzd/zIE4ClaEWwDEKUatY01aXsj0WW9H0v
63mWdaAOccXHE+ejxzW/8OhMcyz8o8+uy2DYdXp/FGxjdyTjcprE+i23vWzxrL98bOSRLW0sgi+C
DRzjJMnKj9cpKzAqPx5uCW0g02UnLfbhuk/TeP14VIzHySMpWNAWt3McbCeibJcZHUscDf11VLNr
/3vqjQW74pRaqzhKDiQpwPJyRCI8Qq8fm91LyNXJr0wO/L+X8yXOS5FSU2+HYqJd4mgG1+gRAFxX
72L09CsAMW1gZuSXaLUMc9w+oqlwlzGb75p0uTA5PDR/g+OJdS3IcPqwJfJO+ILnvVScTKcADK4J
tzirDubVBHc6ujMoVnfm1FTSwlet9lSIi3xCYGPOTDuMf4886K8Q+UzDJmMqI8401X6b9AnIdZRf
dq84qm3K8zKG9+BpcFU2+b+31duqYMFg3f3izx4urctH10w9wdm0iMoUwXhUs6fFJedQvcFH8PAg
sZyvuIjFJf14tRi8fCrtfojLx6vr+08lOqBN1EOq8PagOXx/PH28Ho0iwEXx/tt+uuYRAifvP/6x
+Xj7j0f+FsUVLab8v3/97//5b/vxq9ILRMVXz1T/vfjxS+rj4/7v7ZTJ0jrcKPt/Ppv7+PAfP/Pf
J0l29jUJj+y/j/S/P2Lsx7RxLv4qQ0uAud8/8OQlpzlxWKYHtVxE6JbLxyP2/uh/Tz8efbz2//0c
ohysXVfx+eP1j802mPA9O/t/3yob5qTVbnz6eOkg7GgMl7/mRYAq570sOb66sv54+r/NQUGk5aFx
tD8eYqavl7hwSZ2z6CIDYPFRz0lVbLqvjdQ363vxHRnKtFZHMrfTQnnneNDXymV56b97gY7ucYVw
3D9Hg6VyQ5BUhKe/sRCp0sdw7iYzniMujjob1uh52YO5Zb1w9zQHE1cwuTmHOGPmIuhitbByQ8Aq
nLa/zHd+d4wc9ml+QL+vvRVuL/F/5aAuTyOkDvDsTzz7DsQ21gaDvNT8yKqZRxQ5V8yedGJ/Z7c8
TBK+ILCC2KcjrO7H/quEYl966eG1/pH9KLLnJPBb6fSv3g3s0u96bbIwAPvvl8+MgtKtZiupTUnH
JTmP5kg7fH/zJ7EgXCQOfQK1ej72qCWF3ct56Ptyg3gSBcuNGbZU+ervVYG0X5T2tpxiV0YbTGAi
i9pYYSqbcVNxpn+RT5vVLyTuw1JFEfDT8BxJ9xxS+W+Jk4Zzbyixfv61Nui7cQHxyKOltnN8oYcG
q6BwERwSFiB2EIugsUARM0BIC0ipZ5tAyvzGI/XdrU+rL177SW+dGfK8hhhZPGdW/rKCjs2U6z9q
WN+8Re/N6m+qIsJdBzr+5LT1uMlwZN9jiWtch2Y0Dddrl0lRXAeDbAIBNgrE5p3W8G8q+uA02s8j
4luvQwA4o0h/85BPuQb7ebcSaaTIvxXFopqpoKQiqyS1r7moV0ICLM8Pqv7IeHDNDArcBskwlFMi
WXWQIC2tb7OuGMxc8skv36P4VTBrLPZmgqwVTA/PM8Np7o+/yDhOjyxW8hKb/MqtI8iR2e0lQvCM
cPXVY2q+ZvHq4HWsQDuxlndG1CmxsX/eJ3KC9PTFw0e4ohyEXGdvYQP2uWuOmMWtzGh/mkP1E+zW
1vBwZDdkoX0iaemvgHzCgy2v1mWohMtMbWFvIpCu4SjyDIRQgrtDAuONgTqAfyBvIDR7R2ATlRS+
7LW3L8gxFUAmwAaIGlxTk362YT6X017uHkPExa/pyr3zgUB9RZyIzzwV6iaIwkrEFXDwBMm2R777
gJKIVNT4PaMpVvgjInVEjbkt0IfmHMmsmOemUsmAdPqWf3OBYpf81yRX86T7jvaGVkcSPtYBCsPs
PHKafPnwA6Q/bBJg9I+jq+hueZsmc9Eh+1rU4xT/2JhvqzlOx2okwPsrDFzQiuoIyNfIIVxKxJrU
VII4jRIg1QyCVUyz1vPYDPWDqDqT2wYZS+ydVOtzEjLTjHiTAjrXeV3nMvbnDWcNy5tdSDDIPHyw
ELbw5MeA9rj/ctVLDGbm/3zPgCnPAIxg74DXQdFnxz8BK9mT5Lsn1b91c/FlDQ6vBJJPO54irsUP
1Q5JwXEZ4fcLt4SNF4y/R9K3TiS6AeSW9UiK7D5u44j8M9GlFohzJgaeNHS/G3JOea0Q2MbSGfdt
bNx+MlIeHV3IVPfh9ocQub9gAiIIY9e1NNqtFzJR3e6bnSpz8PTsgc0FSHxfObj7kGp5DSwAGL4w
/kvs8b7l6LWcZbAmgEBecdptf9Ur3eqhoOOnxUV/+uQu1WOm8HE8m0TvSjB9PmRQ3EcZVfxIgM0M
x6X9fhVtkd7O2gVP2WBA4grL4VFmXRrtiGUCKN/1+2ar6BhDmhNLdlnwbROdp81tLtR0/28TYjYu
UfGv1yMAFkyIxi82WH9lAC21y/R4kwIxlYTQKoMdmMEChDioBWjrtF5nBOevIJSuDnP4F3zojUSC
jkBcx6R6R5Nhl5jhXBgoKyHhyCN4Ii+XYWtElp3SXXitIfq89KspnfgZBzSoVKQIbPIxrL/MVqQt
QwgL0lZfrWM+toM0A2KumNbeTiEMFdsp9tefuzjGc9ZbvBevvL6YG6wrYYNXm1wR1ag1HKp8Lkjl
Zwu7kmiSpRhJm5Jh/r1x+zv0XUUmgB3hE/BYJwLgxP2vDKPznkbdPu0ptNC8dMZTN6ScOwsE+xyE
Q0nBZcoV0c0yXCOka8zxjYRD3FIivh4LvY89TI1h47SDl+PhdEPRg6/yNED1apG8Mvvb3GPKsnFJ
GtjN3yE2JhXALbI7oSg9d4RwcwpzFVNXmLATS4gZteLKLPCeEcbjk8bu28cnwNStVas/lGhD0YpP
QdbO9DMkb5SPinYV0VNx5AWStRmDpE5YlantsQ1yBmIo8mbj7xwrZ/ulYF6Veat7HufrsheVDJf8
aQICHJhnXkykfpOpwEkX2+nupvnbpCnpdogvrVxtm0A1a4CTh5pIBOPMrvJWT8F9jMFC5ECqTW7T
NYOZ3jAM7XoY4qPdjL3Y0YXNDqW+SpB+fpoLLC6RfQ2OAfk5qkcssUAPVpGg2b+j0sFfLQykmk4i
rjIhRCUhebUyRoAtX9qbQ0b8bIfpzxYMqsKNGuIS1wQMHhb9YqwIu3gzmLHQuk6BOfpmybahhKF2
hi6zn5PVTNfZZJVdVH/2+HEgFeV+eUkRXfVCi5sriqFlyFQijRXCbHOFLDPk/h6QAvzbxHQVrD19
1jE4bL+HT0EhXV56q6TPLz5xRznBXj0NCbUjpq1/lEnqwhOaW+Y56l+tifgnxYaa0SF8RkZBfEI2
fmpzsSx1sH43a6/eEkrXuxvJd1xu+m3JV8D6ZBRl0f8LLeXfyGr11Veeq/z3p0jG8XpJw+kSWenO
I4PGoLOh3dwW/PMIu+ZqaUzhaquT7Bvf5+E9BAiVJANX3aV7ytHJQ71hASeAlJT0lJ7CUG91FmzH
U4TdXCY05mcmACF3vFFXeKzd9fgjcfbMaG5fVDoOD3imj8Up/kbYeoIEFSCOxv4tyWKraDVDG3P/
37Q8UYT4b3r7BUFivk8UNa2FIVo5iuJC+RpXyRqFDSXu7AfziqvLR33DW+2VwszakIDpOEI98LYA
O3ftM8zIDSYJyIsYenKKVIrRDpiS4MS9+OFvkq9NstsIKbwhaGLSg+D2y48wko805PKRBJALe764
czIf542K1hGUlab9aD01ps+WJl28R+kZpu3JLttrEifLY6fGxwoS2FbJPSwHjtW1T7Izsntjhxsv
FjemgWE38c2EowNCIvD2guLEVfgrW/zoXNDo7iLICJGLmnRbTefvq70w+E1lNI8g8Xl84274i2od
BNEs25qJHmnDxNYxX6bnBX3sdmDLioh/ulbZEGPB7XcGPcHFp0i2me3HEj4KfbKYugEJkhdCkqT0
e56VXNG4DQUUEQ8WGIIme5OSOKr8bV5Ph2H9GVGe8zGysGY5Q6wKk2IzaRtBqqoT6auzmZK9TPv9
y6iD5BqhsVDyEFHm0fGiFblhlZuJ+hQw3swpJGWJdEunUk5LGFWkHJB3fCogj5ehnvc6g/EW+PMZ
E8kh+pFaCB92fM3jsfQRq56T4m8Q9/ZsIyjDc5SUy04A+jaq6hAsu1IxAVrIsYz6PPaaMF7vweTt
LV+1X77zz+sBOou4aw+TICE/QkisZ3yl9Y9h6+3dJE0w0vF5cCiLsDUHTkp9DnCRQVFRYHdgtObk
I6wdOS1u235BcBrEj84TArmJ6SJCOoQwkThP3bmfDNqfc7a3myimepueKdXZw+i0QvjEffbnqqfG
+xo4uDKZeaG77lsvcr93YMWbkCCeENduOe2PBnfNkB0OTH8y8ddeJn3jkd77kW5/+kykXwP6W+28
b4rE7bc4t/nZiAM+3NBjUZ/G+yjQgAli8ZkLN9/7ZQpe7famphAFCMQS7iPNpwdfMEkg5XcTAicv
fFwhDzGS3i17JLh1+8uQIzWd82EGsp2Xlx4I5t/OTPbwyA4FO0F4NY2QGs09nL8K8oJNelNm/ECb
6H0zx8PSmuzISsDG4lH4L7C9bnz3T4OR08kcx5saF3qDRbG/mviovMMD11gp7Kck/qbnI3/52EC2
O9Ep/KtkBPPOZxlCqBmpgN1RBhr2t6On7o71wL7G1r+M4fhjg0wM1drCoRmRSsu8Yr4fa8/BCzxT
Iw2E3RqJFxlNQeVl6wZpeIXHfrCokgzZ51xt+RmIQUGV681zeNRr0hbILjaxiPYmS33RriOnt2ic
m2XKj6uAUNyQ0I9K50Pz9D0LOyeB3ayTsQv2fnuZkBvZYFJq6vIbuqPuUgwIbxO1/SV60/CMjrjR
SrhLAsIqCZlrO2rUavkQ1OsYDm2QQ1YMrhMb1CeREOylKkJp6bYz9D8iMbYmUX0ZkgT4vR+LavH6
4UZy8TyNETmNMBiggO5VGqlvMN8xRWJBWkcpr1O0zp8iuS8V/BHahqxfG7FSU407zKAg+YUsqndO
RpV3LiAX5A3M9WPjma2olMOOUZLwF77LJkXw5s3iir9QO69oEfj2spP8u+iHvx7Km88sihCVFOqM
MJUs9z7aABmFao6J83rforWWJoRzrNPhzJfBVYbrocuOVZ8StRHI/1Du9t1Bex3fPX4C7zlpF9rP
3bIBHWqSfzvm485Widh7tJmry4iCKSK+oRi74JQoSDN6wa899oF/d7ZdFnDijga5rmnKX8JjNQ9u
iXvqe3nd9yCsdx4lrcAU6sQ2+bVNaYn00Ph1n70AQ5LNTeQhwNfnFFCIblmpoEg8JcPPIvynMxt9
LeSGXF/KvksP/VAXO/odurqqepxiW5yeQaxTTG8U/rYx0ogMRKYd+fbGA2ruEpAi4aRb0yUtc8zR
MyowUAe6abHkhI79mxhHVfdFGFVbtgF7LHnakmlZz3TSiK4Uvn6sV59nf/M1RHhT90kdJvtbnPL4
vC5rmfszwgohQshcCBzRZQHvyJETWBF4Q9RmSUripQPs2uNPGiOFK2GOgz0qiTVu1530lgr+BILv
KIMsg1RtT5lBYSFDZB2saFomhHIQwoOudYQ4+r0uI7OKeiLBT903cxAC6Xuw/RZVdEyFruwLeVLx
LhE0GNdKIWfasf44WaFU7RRC75Oqt3yA+6m6NJbxv80/oz9STlD6k55Ez14Q2EuvvZP0WTMxCFeh
g/6T9uvdcO+74+73EEIL4euwVuLYXamOODhLb386bFbclTeZWyCXvEaaisPQhImqg6AVUUgarPfv
l66oJsdNG7lvVIaAKdlFLxzzPta1SbXGUp8NZVxQdYoAp8i+NXIT7rREaMinfYjIJSQZYAnk69RW
LRJuLpc0Lyc6ftOrB6UWGj9IKvI8ageVc/mDmWO/KH/qpn7PrkPSBsGM7Lg3izoTEL/CpFhOXkHC
Endtibre9BxuCFsuMln+QA/3uzzSc4mi9NZsMNnYJH/CJku7fYgga3mo1gAFNUM4RiVJ/StPJlG6
aO1fNcSl3cGvXdFeuHp2GUHzllc9jbjLwDQgDrF68Sfckw937WEXxGBtufA9qPWoktP6zus9CGt2
IdFpR7238ghaCwmkcHRuKWR0DeTIs6+jV+SQF5XotD+6WqtjQtjBZS2m4RUHy6HXYMBNfB09WRFc
UL9jJVzVDVgWIXET5tB6UEqsxnGObjFSOWe+8eciW+RNCArlZzbmkWXAnOnibhjCR+n6qXhiBDoI
gbZGqE5KNy9vQFAGJ2uEsMw4n3E/R1rH6PLD/ByaYTFFd/gccQpX5lpmtce1eazZ8RbAKXtXpLJL
EDJex6vcwamx4za1g/6nXg/JM3jT07FcMOEu8Z5OKN1sP9ctDCpKpVfNEeS9sYn7YmxCDfg2yODX
yBYGl0P8mUHaO6dEX3nyr5jm8YaIXd5mCf2z4WueEZAZ2Imicp/km6zxJd9FG+f9rzAUTz390G0h
ZO8hfLJ5RPl3xVldeH56DsSYVK6A/8Ilm6thUd51TiiALKqF1TGIGHOW/4XPC5LFAV/6g2LdthCL
co9CWFDuHi0/oGFUFEDka7ad98VklylYgipIKI5OruGKjlw3KPBfiiP6aTLqt8Qfp4tT6YIgf9CE
xK5nLegKgo5RAhz5Ivp/QWbkix8nO9IQuWmEorRLB1yZWeFKaI4FCDUCqgVqI0P0vrDy4jyx7fvC
DLkOuK2KElk1GK1uDM2CiqYSDuEBPpzPiGFtSYR9DDxAGMSgfYp/9wEkmnhacJS35CSzzZZp4lg5
2SK6JLn3i6FI7KPT2kJyxHpg9/zqIvx5sctT9Ef0UvM+NvUAy/Gp2MdTlCHSBYV2qGPdR10Gs2Ua
08vAc1lueyDPuZeyjkL2a2383d+9/KrdUqDAupFzFj8kRJbIw8TxvJchSHBPibDAGRDOuJCZ+Rpl
/XZBsU926vDTSsJ+cnEKQz/SCikShbkfL8X1Y8O25I+Ctgbtj+gW4gU5wy967nMV30YT/QKm9H8z
E78kvT8+xl3nbTCSe2Y3ivXVBg0kIduKHvwHjTMc4Lln4JrpCXoL+UoL+Ti21ZUMIhhV7/bYMrwt
iLMCMDF6CQU/62lml8EfzFm45CUSmetCjaF1TBr2XoUlYxxsyZDz+L0Arq0m/9ozA3C+RVPnpniq
eOE54IDoM83Eia/zz1DO05uCJNTBLkPCw0b6wVfzBlC1n53PESUQ7IsARtrHJTrbwiwliuBNn02g
aWqcMZG2uLITBNM9R8Fe93s5LuF4MT5W0dX14IY6QcF8nkAFDrQwgoFeNG5ocENkrn0PsjfCDfnL
PEpbeU757b4XPzIE1yo/HVAcd+geoLq1VkwuJx3K6Or2ISkLcLGFQn6bcFsECA1b0JoInOaQ/r04
AqyDmer4AC9mnzxaQhrL7mkxdbMsQHXQL8cx7l8frGdpS4s1bGKNq3xWIRSaUfR37ruT7+LiwoCl
z5ahZZ6qGXmnkD1Gy7yTG1p8DvByj77uMhPI2+zjo0BlcKToT4RDwDoOnxIWlJvPh4pBlb07lXNU
JX5M6yg41HkRy9biy0+DOvf7EnUQC0kz/cZwrTzzYDeACuNZIEH1xJX34Lux5zWd5kcxDLj1gRrZ
fcN1OUYuuCRcImzietwIAVm4cXqMS7xWM0vIbeoVDo9dws4IhmklfFp9DP7cgk1mnmKlXMLwjLXj
QXZARV+rZznQpyiE6HvEtmYetVcczAyn0IJBrpR/UtN6hyqvK6NN+qlPYU6MJvwkBTBKvyF8ZCc4
Q5YEvwRV4plkc2Oljr/nEFoqVIHwkdDvaITm0Rffnhb7d1FL/KYjf3nO6fImZuSnwIfDaooG9iVh
41+ZpvavlND3kr0oD4M8bOKBCpNjv1kvjc5z6KZ7HsbdUTj1HcugQAYxpM2UyvGyRgbq+Lpnj3FC
pqQfJK+cXesh0OzswUrvSfg2k+J15AdOIh/sfJeRqlCQ3hFZ5NFjMVg/erokT1YdthpxIwIJKe9J
v292nzO0ZY17jt0WQh/w488HUuPluH1BT65457i4rcbGnncVudPs1D+uJl3lNNMpSD8CRfHunrci
GB7G9znshlfRg/lCusmuCXTOOkeZAfL9SKvQF2PjDWtWg1onZz0bghIAum2HAu43yNJSgFrk4CTu
obCA1IWbhx7vMP0IkuAJ7WSvQ21zbEODkBvG/Y8sOBIgcrmcidyGeiFmao5wStGgGudTjK7Tp4kf
/xTOb5Jb8RYXa3TS4NHlhGv58K3/tDmMH5pNyKweG/qPZJJ3bt6DLXG+wlo9+is3Ci7LQW4oNE6P
MLgNBua2XCKOAEnxsrBBPm2pNJfJ4qxDY2i+5mnv320s5kc4s7Ov5aco8SA/o5lzzo0BoFmSKsyA
uIJiiD67vXiF2L9cbD7WMSoC5S6H/hMywl/iLd9Kf9LTVac9ewlnXPAyKkidRQQKGdS8e0ElxL8Q
BV03hvwGjxYcS9kTL4K9XekSvkj3UQpOar2y9ObSYX6svn8PMDPqeZVhw95XEY9Buk0HguQdsk0b
DKyEHRK64Lq8Dp70X4rxMqcdylbs9wR5qkqdPz/P9lkujN0YygUgnlPwDcFEFLgDs6ALdmxfwRft
du9VnH+P6CLh/mBRDCD/AB1mcJeGoYJmuf4UjiK6mKr4woP5BxiBfw0N1oSCRI2POni27fK6IE+O
o4LhNDE7Pm8uepM5sF4cjFBI3jc5DCrccmN9oVi/n1GDeAkiUqa4R8glpjNSRDQgV7sXWbVo9I3m
ZCtBWTectdgMC/i2d2zbia1rZ+0UnHWR0NcewbjU102GuVjxyB7XFALGaU+HDZIMv2weaoGqiIYv
hkB2Hfjc33DUBRqMGgJ0PIkfrAcQwc06yAsXa9jNcEe/wNtGTO8Fyl4aT08hR+COLxeVZ+oLX9/Z
M+4uYOzJQ23oHg/+5x6G5j8ZaSyBWfKcrlD67OzjXfs8esAVepk2gKF86fdmx12iarnyhzwsAX4C
RZeT8u8+tP5ymNZPCwLK2K+CfB015B2doy+27aaNgz0Cow2qBCDUcqvuavo/7J3XbhtZ16ZvZW6g
jMoBGMxBMZOicrJPCrIsV865rn6ekrs/UyU2ie6eOfiBr9EwIFvS4s57r/WGqJjHoDKpQ1lswoHm
XBex/mK6erry9OZOFtyrwgNwW4dJt3L0kkebQ5hCjW603jR31OlTKsFtQJ4kctZJhPBPo/bNTQu7
pIV38KwXJD7D0L+RYBtSKJF1mzUJy8PZwP5b6qWs/6jhKejOIkzJTb3/EWATe6m6qrhHjWnuzgXq
Qc+Rmhc7PWLCS2EiPldFUwNS88yd0gLvq0vPWEVCE+8zPwC7rWn1g8fkJtkbPgKmClakD3lSDa6x
yUpXsq3Wyr73lIh6XxIvvADpg8y0tK2sDDUPOR18Z0mpXomVVxOo0ENJCofbgJbPUK8twFS03W3f
6+lOqJy3jnTQre8EwzJLACpY7/mqBIxpknkKtRvSV3pRxhdm/9MwhK6bKwrITkRlpBkKd/Uqr0bW
gR8oD9rQejNfbpRt6TTKQy6Jf3ypZ5x3qMX1yyJq6rWYAguPki7e9G0PWSB2v/W14j9E2a2VWelj
Izvubau0YC6C4MZqPeEK4YNV5jn3ZHX6i1KxPOB5lnETJo73KL3XIuou2zZOMrPgfd570XBR4V9B
OiXs78OUTBsks10RAcLgmaPsWgNKlGsV+fPgUMKCXJBt4WY2q6Ig52CBZkNYoLaWYc0TWgOEnYzw
8kErulUZtyb8kii51Hp4kIlCJbcHar5oEBZcUt0FUamV6aWcxj9JNZirHC3olSW3yoYbOUuCy4bd
xRT4nV5gm+GmOxOrbljWFm9Z7tb9XufCP8vStuF+J0hrS1Krq2bgyZuFrvzYU3uoarO+5YP97IvC
mg/AQxZ16LXrBBiaXVShcwHsu1pQ1aTA6hT6VQii2AxnVVM7u8blwhuX9U+GkwShW5ZMpFpZJnE4
HsWScs1LV73mWVlD+dF2saB1i6pLw4X61GtxeJ+7QnHP/c21RSHyVlrG/ahNeGO3QzVcah2Jsqo3
nmpFrB+A2PLENeL+htKOdDk46bwOjWAPhUOjAtl/K/RK2r//ITQSxR44kOQv+DvKZOsit5qV6Q87
xiragtaTbh1t69d1eJOVjrJz4o49TeJZoxvK/SDdVZYgP0mvUVlfmp3lPnqC7F6hKPLU6VY2jzQj
hd/mtVd1UbZXsTlcwIB1rC2SN4FqD+QNlknPFXWA+EqZOBGXZV6U74oGOzEcOJWVspppmS9f12r0
ElhgL7sgU57ASXmA7O6qhhdJoEvuMlWaYu+VyZWhNsIVDwZAQF5DjmcIip3kCtsyY+QRTXnSB6le
q42BhKLRfOVlIW0gjik7UnbuuuukeGl1cGaKaEgWFjhQEiehqnc8VT1jIbtOPk/hzsE2Kx49suIz
it0vkSp7D0N9rVdevID43y6Gsn5rsuq2zyRz3qlpu0epYtukioZ4nPvgWrm4q+NKtbVeGOacE+aq
ldXmF+HyDw3R61+c+l9amK8p5Snf9arJl//nPo35/3+PP/Of73lX0/z91R5lwrQE8nTyu1Zv6ajF
Wk6/6cNvJvofn25UMf3wxWIqafqnpudRvdO/+Me/VjSF2Pn2HuFd0lSEZIvk2AE9eYzyQdUU1bz2
pfhx/McOhE0NFbs0RKbIJqFS/FvaFLc8BAxkjRLJB2FTWf+C7TjsXkXGANd6FzUu/xA21b4g1mho
porsi/ruwPdnOz8MpvuW/vH1obCp8lm8ARFCJLKhxCM1oesTbqtruHloxVI1ps9kneRtrsy7UkqD
fZ9m5g9LDZpLrU45PD2JzGgeqVvNU94USVtJnaRzgy2jXoPolYHvroXUuVAc/4Z8bqNSktfLOXIU
t0IGrzMRDWS+9BdqxQIY7SGMSrvT3A55kYZ3ZpsPSv0CELAky10BUwBPDElxazJnq2cF6PfCh3+9
0Ru3g1mZqtl9olnhVpKKQr7N9EBod+9D+f965v/Pm9MWxPb/iHh+mtN37BlvxecpPf7Un1NaYg4q
OJeIsqzqojXOqj/VeuUvMKgNBc9tpEBg6SM9+Ydar2x+wTCDeqlsKCTvUaj4rdZrflFEDZVQrjMQ
2iVD/jtqvdK7lMOvnewPuV5o2qZJBID/iJIoE82NITNrJ81TNKDM5rXqS0qTQvZYwmdBeQgtvjlQ
20xdmJLppVsoGYrw7Fh1zgs0WJBfXlK3yuJdKrXc222Ofy21wbcJ874SyJWRW7G7pr+NGh0KmlrJ
1+AwCrD1PELQtlsxtwFIi27/rRdqg/S8fFE3yZXv+LeSAELFKDLYndzCSdaCbJFS/0ec9MFa6yg7
lFXzQ0olY9sBnVxCo7nzrajZDVkuwPesHrVGTGxZCjXy9MOLZPU+zxbpNUOtDzo+KL3cNchEWBem
GNx3vgIsKuHuiTkK2JsoW5GvN8lddpe9qF2GEHJgRLZLXnRw7RwEH1spNWGBl/Ae1MXgCeiiacNe
yyxtEQhQOHL/OTGcO38QNm1sPqdq+SZTsZ1lunjbVdUTBMcLRwp2de5cwXl94L68QdA3tQszgIob
hNdSk89AGoZz30By13StUWoyV7nIls+DAp/WLUTeT2W2a2B9amq5LDBaWYD42FPqvXQtMrhOkwEA
ku4R7XqtS3Nel9yVNafxydeDf6q7vFnVElwNRxu49nqutAQLAQ9eKC/a0rrK2mILaC9ZFF1+iWRB
YpcBV+7cF80YRAoqUvNe6WA2SLEgL8sot+wCbj2/yRHWplHmS90dIPFp4GH+u+v8OkmRVfjrXcd+
CY9tOqOR3Z+bjvxFRIcJj3DV+LzpIAUBXkxh9SIxPfpV/ikRLn7hqJR1U0OBEAnig01n9HZBkVCF
8ajwLYah/J1NxxqVJz7sOTjsSaLI3ofouK5Lo3rIgVSU4/heIOVDvB4Ec1ipBRK4iwZiDXo3Rg5B
EIAlgh168lUFriYsEr1NrW2SA0WXOuGZpMZsUOtNRX2ToqUBORHMriY1G1VKpJmcyb6NBsxaocyo
B9UT8lyUCKmOSnGwpv51pTTSN4GS3iwKso1nyUvN77ggJ7BkgSi589qqfKgAw2teeKTK+35dVrCj
Ob3DmWLle779Um7Lr+IoIJdp9SM63jda6S1F3/9hCi5Zynzrmv1KbyBuBtFwVYntxneKra8U3+ra
vU7AbZA2u9AVbTEEHTIyTXRdSdJdWtZPEXnFqKaIEQ+Ir0V+8qiHzqVfuNtUT9a1Vj0B4upmaipS
tE67GxMKypYU685F+fXCqVR3JrWI+OVu5s67AkpzlkS1Tb8kVKxjtAcrOQdTEem2n4AaN0hIthpk
dB00fvFN8aOq2EvlGzeUARZ8GzV3mJBrD7XkGN3/nyvz/7yLg8nt8K+X8LvD4Od7w/hDB0uYSwFq
unjZ0bsKa+T3vQGYEOIqJmtovA4jLPP73oBeE6c5Hi2Sob2v7j8vw+YXCTiUYiFiCUyV7/k7S/jT
CubnZSRnLe7WIveXUXroYAW3ZlcZANrdddqD9Ya6koRL13iDPv1rgvyyXjhy6z4aCA1Ymas/G5c8
2Sp8uUvlwu/cdSNe66VntyDoYpYFZceDATgSSBovOh82pbFJB5EYi8MmCSK40y4kUpyUCz2yZpEV
r7yoWcudOetaiyyodeeAfxsR0OdkT6cSo+ysRB/lddGFkxGIm4gFtQ5l866nQ4HiXTQbdxddxy9U
KJaQHeeD/WpelXNjtrIuKzu/kK+41yyLW+AXc2vTgsuYn+6MUfT8U18cfJrx3w+GlweYF1oefWE0
/U1FSU2Ti3kYRG+nw4yNmoZRyGXxH+bKCBR+DFNKSupkGRQXN0N9UjFncvLtdISJBtJ7t/I45F6L
8jmvN87Iw4YMehkWlCsB2BjfdYrQeXcDAGlTSBuI4Wem6rlYkyH0jXCQm5BYqaCsAv271KN2GAHv
AmefF3enG3ZshA4bNhmhLJQGM+oJ1mNMITqdDWoPCFz764r1l8vvaJuQPGPX4KGCCv/H/lPUMNMi
0n5ryhq0C/AnENFN1be7XpNfwIppZwJOxRx/jdhBxMky5A5adO2owyT45QooPGQ6l4K3Gn/XykqH
7BS+mWq0kiBFQOp9UPRohyAGOCPjxU/EbY/IlaqBT9L1ZdeRZzdBzL2c7vtje5KGPqHCmwmFLXMy
bQsvCWOZMvpaAwTignTSYZJWxY8o+n460FS68VdnHEQah+dgHWaDLCiqDk89/tkuhNfulT/tcAsJ
aR4+wOJx9/Uy9xbaT232gE+HsTgdf5Lx+BR+sssLOVpbDXv62knI+cFPpozqG+Ys0AAA8lwbSuEf
Df/vFo8v6cMWO1WdoZRG31qSre4DgT928ux7NDc3lWFLl/HzsBKfpdlD8rY+3dhjo6rzosX7WTQo
VU4idwlapYPHVFfrC19xZ9CxFoZoLaL+jzzhXy6qo5GkUZVP5ZKt65P5I0uOHxoJkbqwnrdaBvhA
W+BlgyCp9w9GEK/c/4SaTKCQ2maoKawmV7qHUzpvgiVEQaAJtoAcQwE79XQnHpsxpMhIt+kWLtvm
dFtC2iJMe4av9J/cfGf00jIzntXqpu3nPvJYp6MdOz8MmYuQztuEPMmkI/OqMw0hYHkkxVWWXWbm
GUuW8dNOz6fD3z/pPbcpI6AF/H7J+ebQV376YHLlP90IWT8SxtKpqNNfyPTSko9zXjNaao8h7ESB
umKwEbSom4P9L/V97Pjv4AcpB4mV1lF+EdL3BnDCdKbmlhk8l3k+7+ucB5FZAxtEQWkmNTAvsaMo
BzC0mDshpGEtPQWlbqh+ptztmzy/FmJ/iWLeUkc+ebSDqMt8IxbqTuVi5YfCwsn6BfjOuZ6oP+Wi
gIjh/wSr9ijl1UbQ/U1q9uA3cGZwlSX5lrloQA5N9HVToNpAzbY0EPImn5B0xQ6Lgm++RLYirrPV
EIi7HOmCwtc3apnvar+f51XFtNSWgRnP6iZcx8BbyUvM1VawLUOee1F9gZimC7omX+ehfOdJ0T63
9CXMsRm/7BqC2sjLA2oGdPbRoaw4i/NuKWXpwhvqZS0iQ6W2Nwn4zDqvH4Poh+AATOglbwlZ7Jsh
qqBFXLooa/tH9H8pOFhSbqt+/5aP9g9UTXK0mfD7WFUF7LfG/ME8mokWYQG83APY2Qxlsxpg36Re
f51AlQgy1RYGc1eCFnYTvHk8aon10PXwk9WHirfWrCyHJSzdSyjpCymmPm8hHdRrV4kp7ROKHaRu
bV8VV7mnP9Vld8l+fFnnxU1dwudTYM0gkO3woAvBpwBMfZbACLi+hVnLKHmY2llgzUMEbAqrQo6o
XlpDuZMScw+HB7I1bQYfvhQGHsE+RERBTke8me0X3YVcP/H3Cy11Lst6mBlpuBSrciWV7i5Py6ss
KHiwtzcMDNxz/g00w6AlezTQl6oxYnT7RZmAvQQLCynhGjGgGaibhS+m3wbL+O41gEe0rLDhx//s
8l7Ag8NZQHTd1mmza6t2Bxx2kfkA5UsBwoADrUbmQassrCyYxzn3q95cm0X+iJ8JaJkC+hSzA+od
dOaF7ikbM9ZWsg4LKBXmNVywbNDniBajLGFci7W+VZjfVSOsolK5dXwWNTPoRciB8xdhZYeSd52k
EAugQmpIh0etv+hAjtm5DIuzG4XynBHhDA8WdKoFPCdsF9WgoiiJenJSw+lqlWofxPAu8nATu/JM
EeR76nCrLJbvJJiKtoJArt4F2yHu74Jy2GpJfR955dIfzOcYyJtdDuUc0fqLUBzmGGNvhzp4zGRx
W0YeGJ8CacZmk5bmbeI3+xzCXpwjCmXGxU0cOFe5FebZbaXmzfCHiPV/k/0K58dfv9nt4q05XsDi
x/58tYtfRk1nRUXh3aRWNJqX/flqF78g2qehx4pLLhfH8bHz+9VuWHg1moZJaYkM4EG23/iCL4eo
wXAjkcfz8O9l+7XJUaONWQGqEdSvSPHxUScnGuLFQRFRqQUL0N5qUOp2uiqUK7Rd8jcjYW+qwVkY
Nx4HEoszQ9t3LRSwNUB0NExxEPoIo0Ng8n1bUj1kYkRUgF5FTwkXaGjdt14JbkZ5aABOrAtwBaD+
feMarKe8wADnaxPjDGSVobY3swYdulD1zZ8+qLIrK/WsTRDppjlDCKclFW+4SL/JAwR6Unpx323L
MrOwoRCCqLqv9cTftaoFDCBsl3rSXUduvtCSVLKpqIdYPKEC3/rRTYdOnhMXl146i6D8pvoNPBFM
n5RZYXhXCmRGd3BfIurkSFlpqwHZozIun/VEvDdBJq+LwgfD6Mz11FlVPjqquXYjWvkF9YfEbpLy
Grm/C3xjnl0jealcKFRhuXEg+BehC0QXSn6QXnWO69iilj9ZDrIibG+bukOpIB66lY7oipcauK2Y
9xhhgB9BIzd0n8UOUp/lkspUDAQRtd5Ak6x69QHc80xrSBhalxxtud0K0pNQmDAVYu9ZqcKZnifZ
rEdYDaux19oQF5HZXkcoFsKm2aVa9010nDuO75mB7HBVieay7FBqdJunxIXHoafqPZrWN64WohHn
rOXUe+mMdMvxtoZ7s8mCbKl5qWB7Xv0jj4J9WuaPad4uCkVfqaGMdCyECkuN+zkyQivJlK6cEkSo
Wl0arrQHb4FEA2ldHmYyJf+KngGbAppxkDOQ3UlR1z/1NP8KLC7NF41Xtd491GeylqpeGYs8tsAk
/LqC/XdHG7P7f72jXb9E8f+y315evSOpSH7y96aGWYpk4StKHoU8Ff/0e1NjnyMNOT6EVYri7Fx/
bmr6F4vn0egBqlNV5D3wu4RJyX60ORLxnSG1IFvG30lFauPD7OCWzq/Ac14yx98GTZSC6cfrc2b5
yF9LDo5nOB3M0WhP12oaRI9hGSrPGffAagMhT/uqNooyJ8PInbFqJXawShVERHwM2VnFqEPVIH48
LESiYdUjUTu0yahPEroIjbUZIr+CXotQ6MpqK7KBan3fPGcSnEHEDCLIJLVgzKEMiVk+K01U56kP
9kZyGTWhZl76nVwNOKq0cra2SjStvrm97L86uRRvUyOHHek54ByhWPeDGOJoooheEHB5GCv9YBso
+r/X/2UH/LANdmcrv2MDpLB5DrgngMVObQDc1wMYgvc58d/FoZ487ud+5799XhfjD/25LuQviMvz
cmMP05GYPzTiVb5QYRttxAw4WaTHebn+uS4sTnTqbxz1eJp9POytL2M+gL/kx/jj7xnxfk5og6Ph
1gBGQEX/iILgx3WRZFoeQ4pN145R3igCdjlGTt1ZZ4oH2iISvL0ixghwhDvkfc8kUyb3jDEgeRRl
vAqp2mgh8TG25EW8Z3iCrHM8EnoFEfS9ay4PNqvrXyv8EJBzNIYJrocnOr0lTtZ906tClyZtukbr
1IbsvzKdgjxgMP93Ycbt5yAHpw9dUg4FYVqtupV1/zG00J8vxDOtGW9eB7vYrx47aI38MQwinrWK
72a6VsrnzsJBklqbIMhzV7VmlnQuz3Yu2iQvLsemBQmNaB6shZDUBlVOu2+vs+FbE51LCp0bqEli
XOf4DkMFMRfTRBYRd0Qxir8LXDtPDxQr8WQPTuZc3juh1yS0ySDv4FraPArXrXhbp2cslc7Fmdyh
28RH2g1pkDUnxDUSEE8YpHxHtQDtt6L6Baz6y1ShfDQY6TS4hJpBAXYyUKWbe1IJ5HaNYsvPaomo
1UpaIuqxhiBm+3trxj3P/u7N3rABvgS0aWfb7KbfnfsY41r6ODvZlTiqMcam5gcS7+PsrBHjsOQm
YxFsMfFYNN/dB6A8t6lll89QBm3R/mmtu8z29iZSOXZ7c3pox63qU3isnXgJmbLIjeFjeAXInJdC
XVpbvJvjGVrKOxQb+4vsW/JwOpI8rrMToaa3ib4wSqrghEK3tbdJZu3lm3Jh2OqMJ84qnrn7ZIc/
aDMLboVV+rW5QQX213X0Lwf9UxJ1fAT+bu1Y+j3ccRwnq1idfAQ5efPLNx9JCeXN0b9V6c/EPTOZ
P6/Nj7Em207acFANY6wKeYYQZBNeJTOUlc/Uxj5laidNmkxjpzDRI8oI42gIAA93gfl4etyko51m
4GeIHBDP6/ck68E2rcij4nUZp+t0Uc+CawGZkkvlyUUH5da/7y6rB/MW5v/GutIXfXVmwI524kHs
cREfxEaCDdaRRWzJwVhXMDeQZVciHIbTbXz37v00NwEDjLi7EQE46UXVNeJ0FGpZ77DCkPHtsH0I
5wvJ7uy39LleVgvztb5AK/m1t52ZufgJDXx2ZsJ83pCYMAefYbKZI5eC71IbsctK0JdNtAT9e0VG
+Kw84wooj6051drJfo7xiFgYUZCu+xtsF51VfdkuMIywr2wXZc9ZvSzn0radQ2u21+EyWUWrv10G
Z9ZK7N6myHtF5Z3zcVxDqSCx0QvJOoAVosUN2NlsG+vumTLDsS49DDNZ724AnM9J3XTtSy7ZPXVe
IYGb58Iibn+enkHHluFhpMlqD7JIzCBtpWuUJ+xceay8u9MB3vEY00E7jDCdHk4dtX1Mlz1fkaid
uYtyZi331DNswIr2a7xa9cuX4VuG/fOZ1XGkbXiZmiPsDVzZO2DmcBE6moCqax0la0nxoB+CxF6Y
FA3+7lI33+2sQL7gUvfrzn8YRUZpAAUtiNE68G0fuT1pmCvV8nQvfmrKJMg4YQ72kzRrapiNVrLu
5FtIW30enukr6dOONYkwucP4mLaOZTwitNY888SFCn/LEZ8xzFwjIWNj+2GXHSwtLJBy87vKu9gi
L67HWFvH8eLfNXfc2g+aWyRZ6rUGHwZYcYU+vqics477tMLG5o7PhNEFjJfJuNUcRIDcGlMbYdSi
7i6y7ouytL0IF4JzMJ5P1+r3ONoIr9RVzLgnKznTrVoENZWs1fiui4JFEj7L6VcZ44gIXY7Tvfb5
ffceDOA2cqsmj6DJpWho01hDLiZZY9gu0WWt9ayr3mUVdpcNOnntgOaNGK81t/8na4AH3h+Bp1ck
rgwYwnoE7vE079DOd3FN6c6sgc8H+sfmTW9BsILcxMTZZJ05OAk391BdEVrIqA7Jl74vbgJfnVVd
M0cbJBTzWW0ZKNEivABtssc9oHWbW1MOl1pcnTmYjq5O7hmA8LBW/XQlV4mg1jhNr/Fltss2Rjw0
P9PD7437sI2OjQf9L1MWALokTs6+2kSg2M179BfskOTRXLjr5lFjf7t/Q7hUuzRmzlpZ4X5xFdg/
0B8ULqrljwd5TsbKfH26vDsHAxpTGR/PYj6PxSSCrECqT53i/bIeMx21rSHKY9BwJW+pgi20XbiN
rsK9c58/aysUWmeijXaRLc2822yLjM9SvizP3D6O9D3wDPrG1HEqZd5/XMhaB3qOhB6TAo67pWNh
eHlmVR1ZwocRpsV4zF+QwC2IENviDLmVebhy5p1t4Qc7v27nmGkt/XTT7tz56cBH41IzMtGXhc/6
nuU82KJi0n1t4vgJkHl06keFNPwbhgyJejR/8RQ+He3Ihgik63c0+WM/wnXoJPilyTpxkxtheOmD
V+qYKx9znn8XaLLzKrJmFIETJGtRL2cAHO0y9RYZ/KbOuz4d6QhYCtHygzaNc+egBzEbi3pkSmnT
RbyI7qJ70GLuDHNJ/CiW8UZmwmzyHZrRa+9bsa9ew7+/L1h4qo8fAsCA/u4/fhBfS1Et1hHgXGfi
T1+TbCE/18Kxsya7AnAhXjig94HyGpP7aCZ3LgKvXbwWkOIZZiiFqbBCcG935s4yvFgMs6G3R2PB
DWzulfOqL3sbfcH63MlzbK4efo7JoIqU+YEc9PFajzF0t7NNaV9hrlit3ZVq1/NuQfENSYves5uH
v33NM8UPfTAZZQuPO71Q6YOg3w3ItmXohJyeSEcgiB9DjM0/GEh0DgLXqGgeGoQXyrKcbWDtmkt1
fvGCsdCiXFsbbEuWwuZcx75vLqcGeLK98QwxeT4S2Tdn+aLcSoFtzpDMWmpw3zdQd3ffrVeYuu0C
CUfu0xt9Xi26BZ4TaAxcM8NxaZkhdiqtErvHg94Wl8iEsyubi3NXKunoZCS5LCtQRkCWT44oZFia
yhvaeB3JF9+ghpGPQmqvm3WLZCHa/lw/c0s8OukO4k0uxR7EFB0vwXgtZjOkfXzM85CX4/0b/4Mt
a8ya/9mwySBAV/OHqiIQ1kUINHOgmU91I9mN8HZ6oo2/6NNoHwSaXOA8tdMR1qjiNSqzMSIIOqLo
xQ2+OKqOINU/uLVBq/1Ps6aPWRG/NXDCTYw6dXZd+g7asPnO8qPb0436lKob1+dBmMn6jE2/x3yE
MNhUrurktqw8hMQSu5X2iAXZKZZYrub/g8PzMOhkLipeGrS+UsdrJwMGPfQGdfRwlyAA30TJnRd1
m9ONHH/fp5EzdXUsiwLXn16H/DwYBA/hiLWh/JC0C8NDuy9d/6sY0/Hq0TZPBxyN1oEiPVVS/9qJ
4hKw/Op0GGk86j+3Bf0G8JOqqBmTWdgWeiq7YRavH9PHYZ4sMSNZtHN5Xs08+8wwHbt1jKZ5MjQH
KrbaZGXVQMpKXScUhNibXHG2bePu20RaINl9pveOra3DUJNW9ag/eIpb8Pxp79C0qJQHKd45BuzN
C9k5s2Ecmw0HsaavvtzxEC9zxmYVr0qLWV31OgRnzv5x2UxH6TDG5Mg1MDzShCaP14X3PQj3Fio6
p+fB53QbC/cwwmTh5nhhU6ghAnN5YZFWzG9cW8JJ+QGw+cxYuTOIBnNp9lTPM/shAIDqcqyc/hDn
enL894OTN6sVTUkLejIyfSRmFdss1wIyaKejnJmGU/y1mQZI46CVt65l7IjLcqF59Tzv3Msw18+8
V47eJQ57dXKX6F0BqUUY0mthjdrqsCTzoD3h8dLtABstim260ZcSyhfqaz/HaHV/uqWf03GTQZ2u
uATqrZSN02apXaEDVj4iTL51tsYuWOJ3uvYvQKBja3bbbrRZcwnT90xfn5u3k3WI0GmWaOK4NkLE
OSuYHJ5w5r527LF8OHOnaXFJL7NIgDOy3kX38WWP4j3uiXPLtuz+p3+p3zir9EFdlCs8Sn/g7bq4
0a71HfLOd+rSR1Fk0wA4ss8M/Jl2T/lcVuH5CLzxmVqcVcX4NvDPZc3Oje0oH3C4WBpRdDyk0uK1
vHcZTnWTXAVXnYFA4KrfBDc3+2aurpDJkvEnuMZsb+svT8+uI9oB45ZBmV+kQjnS1j5+gjQOJA3Z
VC4wN8EFXm+AAmGoVJvBTmeryn6qbAumSjy7fbu4pDJpX1R2ZWc7/OFs1ISez5Edjr4ADz/PZLH5
oduj9JmyfVxIsp2gOADEAbv0mfuGMch6UeyDmXnbP4VL3tbdAyD6/lyh9Nit+PAjTBZcY+o+ysV0
CWKxL8i2y9tqrtw/Q8IdviMKJLaz18i+DL8iebXnEYrX5rKAiHHmUD++j/5nYKYZuixH3iocz/S+
+h4kz3F+L3Zvpwf/c2X6fWv5HWOS63SrzkD/c9xFF+EOEaBtt3FvvVffvl2A6TN+1kt3Ja30C3d7
ix+kHS+TffiEb0T0fPqDjCjdI0fj7w8yXnAODg0dXZQgE9ALrub7ZbezLv2td1WsOaAehw2v8Sdn
k9z1D+HqK2nKOcjMFz+cqev2Qts7Sx3w6Fyobf02ehsC+9H6R/vf7w83Obddxei9zqCXIvNWsXbA
cc6d22PzPt8MfkcYd6KD5qui7yni+zhwbjdzZ/VNXuAV93Xzqq20/cvWmaFnaDcLdEt3587rs5Ng
suICvUhRkqd5DQZJs+g6QrV9RxGLYrlrF4tq8dA+BXu0bZfq8tJY1b5dXnx9qe3H03NAGuOc6oTJ
svNdRL3x3IrX6Qt2D8GVewODf9stULidG1+xBFx5T7BlbePvlu7eFwE5O4DJoJymhQVTwVYbbVIe
Vb71ivrnSlGgmwyY3yYSJlqnW3l8ov8ONhlpTITzlLQdLwJDv1YqdSbjiStj6SE04plQx4+v36Em
Zwt6Aa1Vu1G89tpy1efo6dOu062RzsUYm3swcfWwlpHUJQZO2+MZ5s12xrpbN85chfdg66/Do3bm
Fn10XwTFQh5Fl2CoTaZrbEU6QqRBvJaSK8W99hCIL5ufZ9o1ZuE+zcWDIJO52ItFH3pUyfCrHX60
srnMZOUGaJBjS4N8gWj0MlYknHGbeZoZ/2TjP4g9uW4VvaonjUCfjiapg4LDDwTkIJP+ye3md5hp
IrLLakmQLPoR06f7DkMxW1HOIXGO1ShhKfxnsIxPB0waDFEzzkH49gsXbyRDw90+a4N1ZWT7vLE2
QoDNpBf5iCyTKe+x72oi59nP/U1pNo8KtMrTY3t0BR58pHEvPpiyKIGi8zq2OxzgxlllsxGzAoMh
bAQ1vT43kY7eJQ6iTc6OlrrsoKTjwbasF21up3u2lOw7LM5Fg3nMrMwWyuZ0Az8vEHCUwDswHVeo
skwZlUiQOL2ijAskwFcBz4tNqQa3fmfN/l2cyUIMB1UwEH3k8hDKpIopXpLPw1PnX4aZLMU8MFhq
WOqtE35952zKelNjrXe6LZ/Pno99Nllz8aBLIUpu8RoVchSgjHUjCzux7pe+1M8QVvp34d4vwQdz
0A9aN9GrkKMu5jSN76TAXFl1Pev0nkfW/em2jR30cS/70Lb3N8hBMKsOKz2TmA+FIewjGdWa3Fok
goN3APlRPcf2zznzZj0aEskzdayikJOadGckGa2VhkwNCEYzrJnnnbkMmmBljIJjfT3Txe+n23ik
0kwjf0ec7ma5oGiFYxDRbR9abA03sM1b2/mKYt9GXUe3zqu4FC/yxu629cY701wJLZNjnXwQf7LR
aZ6XWlJHfBOLSlPwLhuz+epV3dqQPTg3ZLzb9kJ03JsQPEgWw3iUUMv0Uf0R6xb6QHVTyrhoBBQD
Wl7YFHDn4/zwlGrnB92FX7arVsLvVXYfQhPvnlpGM8nXHhLcxTHBnOVYChtltGgd7InCSPgWtMUF
Qoc/yqGrQdIaC2wDN1Ct55kiXrc4ogqmtBKKhmJeuxKM/qeYl3s3jdZGWmIDomJIKOnzpO2imSrG
20pM8RAx3StJ9kRbkVL6uNQeMTfda9arL1O3bmFLaOHb6DQYDcEi6oIBsTekaYMSNhIOEgK26077
mDbarMbWoa+imSjkdogrAXgRROPVboX2HDU+M14JAWLfjQIQLuEJ5ivRc1/Jt7ro7xAsVmeSaHyH
9zlrmmwB2/MlRyXXMZRV0teXGBzd9HH/vYNGnF1oGM/4KkQMGasH6KQ7DMa3meTZcPnWWQu9WfTe
ogGRu6ptrsHYI/QmLQrsfhzX2gZBOaeoDrOzudCjwNaA2XvYHsHfMFYQvncBvCdbbzx1jvaMulSa
XF4MNeIK4SjJ/n/ZO4/lVo4tyn5RKcqbYZeDJ0jQc1JBWzbL+6/vBb1WS096GmiuCA1u6F6CJFCZ
efKcvfeaxATcLW+O8TTOrlJoZ700b1IbIgRwwuOYAQOooCyBJrKeMwL4oDtCPK9yUi8ggYRm0wWy
AkjSmdSEyG9F2cdz2kLy6CVX7ufXvpEAkhi4xzXUmWSV46HF9my47Qj2VZhIGxQ5/lZb4w6mEtDH
K2rFEVfVwyr/rJL1TtRqF0QMIU0o0oPWn+Om+1BAAtZ6Ju6MdjwCPhFg4vDcdTlIQB2iHf682ifs
v9iMVZKfRuKY1QncXYqPFn4kib/201wSYLXO1IJiyZugLdTmU4JiAjxO57vrmsBlY+nQisDTeRVI
xFjVQd3EMJx5xODwaeOjrHzSGyLv9qIA76yqBU6MvVUUZWtDEhWquU8c4wWcqjtEyxuR6C91MzzE
awF3KH4pUuHnan8o+s82MgDJV4E10xnNVK/Wige9AyswY4lcRYCVN5yGxKePGA6986Yuw0mCilaX
yUkXUwC3+SikfPKJ7PKcgX07ojxp+to19AQl2epPau87QnMJRftueXQqe75xdGzy0PPugSMRBN3f
zIr95BAGSPjvTReJm7isfJt8Mwjlq0YJTTdxeiO/HhAp1NHI8jVRw+4pfGnOvUnuvUaoflrgC4/B
L8p50NmLS+ShvwJbHaWZibXtLdroraXwyP0HdHFrdJNfdzXP4dPQf5YQkicuWAVclmJ6IPuQOX4O
n1QJhqoK2+moyy+a3nnDNLmYoGAHf8E3dvUkC2iO17Xk6ys++uQWrzRvKQPkj9jekOzi59VZju/Z
jtxa/KxkPRoAmhwac+uo7/opPqg55GYxhJK0lfVLU89wuc6pIIreVHzJ6HxS+je11cF/Oipk+0pN
TWzMh0zwZE8XrIJA2jXvhf3R5E/k0m904BCNfpKKe7naZc2TMzwNgh1lPeTGFxiHGA6IOX+qJWsE
ZMckbeLU9qXMdLtOI0/jB4botu41NwPbW2iNn2j7vqXHK3/kBoOu+FipNONIaVmN2R8UwAmp7tcO
I9ohd2dnoYF+ELrmEftNgo9OkEHtKyrENQRbba/gJriftKcI0G5P9ImsPZaYwhXsX1P3MGfVTdkl
noZS1Czfm1bxdWylhlJviYt05XQr1ktMbKwwVoygG1Pa643lFvNW7/a2ICUPqbdM6bouZ1GQyO8s
PuHQm6YcQ2pcvyBhgASHQU/BYstBLI5OzgqNPtaCFBg7diOFR8d+kR2+2XDoxXsN3CUtCX/+uNrT
Iw+lfjYGZuMRi4+tfjU2JNG6ojk5A3sI7vfQtg5QQjp9K1r+8GPXn5O2KZa7inNl/RxaVjiP26+U
pGEbgR1fABz5HUQVOBHlibWmAAiVbtJpVxpb7U1vAi1hNPxMiWLHpCz42Gi6HFsQsDxfYkIuBS2Q
I85RIioJwiTaazlkCmTzz6E4OdMLGIbIBmG4hHOduEsaqOslSdh1dJdsdy/q7uISyNEDA7mpLsJm
8SdOmgmHvZ2f0qT3Oxro8bdZQNJJtumw7VFV1pafOCOy8IsOYEF6GyTTnatbEW2aNPP7RD01y1M+
QFTzTaJmkuxepdQoo/tZPwmOnp7NX/SYgVfIg7AOpiXDMXw7F5vUHAhE7OAVAkQHkMAaI8s/r09L
65PkzcI0kk9Ff25B/ynLa7rSlSC/nhiHaNvMb5WEGefU2oa7OOep3mU6pt9tqz10NkPozJv609hd
5uwGhJza7Lp4v0qBrgWWfTuqhyUJM4PrSHnW20OUvS7R4JKZGi98+iAIK5Lsz07x2k2PyfSSQXxu
iPcgLWN9U5uX1pRdwjN4km7WFA3q1pzpg47EnIIXsm9gUrgCa3pNrlPFYSu/WZgv1MJru7dEsu7k
jjiGbNzCrV6sW70lp1y9bdSXpCU/9cnovgY8KAmbdiKbLln+jhbqzQ5GhFemCYCTB6UKICSAsyJS
NtVCJaMxTbOoIcBiEyc3iuVlVaC20KdPhQkDxZfHS9PvS1P3MfAFLdTu9SS3KCtYRfia5F3eUVdF
kRfXWjAs/pwHGYEVykUdv1VYMeXGqt86/Mx0hqYEGOxFrHvVDMyBUfxtJ4VRe0/OfWWd7PiS90FC
AOwgQUnCR+D4uHK4WPBEynclqJ36Fru9vcB302jts411zm1p+NL0nL8shGY2bwIcpcrm3q2xJ4nN
QtHnqHd9dxzyY9Jf2P1mLPhraNVPcfSpmh8cvfP6QjQNCWkwdNHUyCxDSJ2e3u/m8mJMmj/Gt4uK
JNlXytDQVDcCrJXR97syabpNEwcSKALnPpEfBXCwxgaK0vLjcSeybwdxZ0uneCHTfzc0kyvJb3B7
ljGIGBrA25Qhhqi5WxJDoqRfphVK+qcSf4IwwTnmx1FNOPbEpiG8St700O6axluMB204ocyvH9ne
ZPKi1rCHt0ylRrG7eDTKnPZcDptUf+usAyFhxOden4bk2K+bFAB0tR6l8qnXYK5tOjVkEIZ/gxUt
DWf0HqV9rNuPHkpCcq3Lm1dz+bSVy/oz9x3yk3tSd5v+bYzOWM1IJLTrH8PeJJiC6tAcTlX0XgAb
yWGlNNOXPTeuzTSGRau5nBcphxLzCcV8LBJ4YG8dtUl2HLT7lr9+62PXqZkGyjeSuMzTKcVXJnT9
pIiKGXZ1E8Uqs8sqqBjP1k0cruUY5GV3HiJCd2QcxrBXxPi8KuORXGAPYAYLdanuh3m64Yy7mVbx
MFe1N6ySZ+AHTdrlZaF8B5RxjEflQBF4b8UELWbJRs3XMCGrHyz5i9m1H2lrXewMkdcQ8YjhUSqu
ZgWHU6aGva32O6NWHrMVU5hUb6ec+xN6HbP76aTqKc0HYv5gJdXo/1fpSDgftzy0aqMT9E6yM67g
Cra5QdWBCY+evly3NIfadaYqMN1SQr1HitRi9PAmlXC14lOrx+diKp5MkBDkEAcOsNWGQpZMCtN1
pD5GEzeFBUlCkJu8yjBv02zZz6m1lUwypKUVvhrgKziZfgm6o5eAfYOdGCdm3fLkG4NxiksIAxG7
YT0EVitvo+ktH8hVsPjQ4uWi2/OBMORDQnpjzMlnaYbfO2SJJCNwN/OxSk/R9OWst6N0IQfIxko+
6+Ga7yzYIjU/aL0Ft32YoVTIYg2d7DDPj2a3KRUcFI5KzsunIa2bSoy71dE9yRhQW99V6Quow4V9
ouZZnan5uyYGln6TRGereidWLJBbzrP6Np1uZimUJss1G3aftt9lchpU8Eyu7/ea7BoJvpxheZP9
YpiPWJMDTeo8Kw2mcTq0K4ng002OT2Bs2YKmUCGyo26DghtNE+0H4wiDNChtMjmro20UAHc/xCwI
krhptMI1s3sSktzFJGVWvIq0d1uCbwzrvXLelO4oKgLCxY/U3KQUaFNM6JMDswHy2eh4FhXEgKCi
pgyEwsdy0TzNgorVhmA/FKN0k6pyAduR8g1OZDeVnGgtK/iziYQPU5DNk32CNkXHmTR0pZfYUjhK
n1Hd+pGkbBpxb1Eb19G3BJxmLZStaqqeoVLFzVtiQ9w0y7yR08hOO0/OGoJyc1CHz3Hylvc/BpVt
Xylu26hUuJusk10lX702ogppk2AQxGplGdX35zCweU3ES+XXncvPl4/ceiJ+Qx2+dJKFi+WhxIZR
nfT2OEQvY/8+c2FBHuaqEUwBSX8cEvmsInhf7SY05OexuTic5pp6q1nPlTiQ/rvRwROP68NU/Jhs
WWkbEBhVDS+DONTTJYkudvTaRu+ruOuTJ8mYPH34mDkmQT67UIW9bH2uFhg1kqutpJr3trvon419
mdcT22Gdo9xdIBjrH5b0Ls9np289+r5edd3YKCDnIn6uFechN9odpC7eMChqZb03ME3H8Y3IX8RK
vzbW272hz/DA5Mq6lZK5O2b9rPudwnVPv+9nirfhrKLVqed8q4z6rcU5XY6PUvVhL4bf9q9acebo
t4ePKD6bVBtSHvvZTMwWhXYN84xghwVAVEZgs7wzM9KPxVePXCY23jL2LSN6jJoCjOaVlrPpleM8
hOAIDfs0OFspetaR0GqUDY725BDzTLk76j8QWvC/FAFMMkwzsLifWdj+PPNAQXRR+F2hHLItpeAp
O68vUW1PXDnWezoRh6FsA4N7rdUXG51du4esbA5HJX1s8c+248ESYQ4th2geF3Sk25vCs/tb2NtI
YdyYTLWu9dvpZ4CGHBOSg7R4Wg444GSTzWJvq8StLLu0HPdrhEA9QdLgcOViX12rj4kTbD0rBX2B
aZe3p0a8KiOnAVcTkR+jWNtnvew3xrRbqbTIwgZotVkGHrjZleN1C1nciv26fa+UVwpmxbhwmWlH
KsPMA1vnmXgUoGvpQxpeX6BabjJJ9uwIeuxPMzenWnyvzT1DCTcB8joODAJtSgfp0EO8NCvhV3D4
iLp326gJLYL9WX+Tc05qsnockrsSz6l+svRiDH4B54L8LPmpS6gLIatCI2qLgn4XqydommdmBa5A
BFtSNZARUxdsVxYJXDZreC18mYtr3m3gstp27Ur6h5SGmXbOu+9Vu+/6rRWnroH3SZkhaUWnvLyf
2FmGKfUZ6GEm5+zpNlkK4p5iXDz3qg537GwMD4b0pK30q+gLRcm9E19ajWsu6R3SZ869pYqGjTJy
S56DePiWJdLiMnKT7J2AhFSsxWYgxJMC38xerDYPhdn6WmS7Qm6DNmuIjk19kdeBpV/UElme8qiv
tEVka49n0SVC0uuW2dN6zJ+YtUYQpjVsUvGTRIq3WtaVxcUFZqvwyKgk64UNkWPDi8lP33DzJ3pt
ZHHMQIlBuo7N06Be9BSsFEdifdInSqr0WiBEG0f6GCeFH7x3M+4qKRniCy9tD9+6OW3UkrtI+WZK
P9BazfX1WvqufBzpXsdGbdPCW21qzWcxPQnrZiHnJD2UzT7lntVUC8sllKdDwj7PilSNTTUZrlyQ
4qdnbqa/xsmjo2LlBYp0xaSwgf403UWa7ygad439NF2R6vFrK8FDGbZDx/1W66BMpO6QVl7dFGFH
Up+e3RX1Dj2L2xGRpMxM/aMkIN2WlELLLesTIF3u7cOpW77t2TgrSR6a1bfevcsotnB8YRrLt6VW
bCLldZx6b6SCnxJ+w5+Ik1Tuaz4oOYh6pLxGR3I78VjXO7rOfaC5lSMtXLSPxpLxyn610Bz5/dv8
Xr9mjbZ83jx2ZOR5qXY/D8rGIY2+JrMvicYNfttQWzcOWduTMvpZRkm8zJtk5kJDV7zGiStXGf69
jypDTMaJHaFuiUzPpJyET+XZ9rBL9cKNp4O8pm5rVKG6nKx1V8/UR80CFpqkRGuX1p0rj08G+FRn
DqMh3kgpkSFnY2ncfshcxUJMmQaG0nktBYExwCS0Dc/gVK8lhyuEc41D5LGb/KaEtgQjchofZiIT
O0ECWJkDb1X8yQaplWxyhElTk9FBK3YG2VVW5+ED9I3qHRZqUJlvEH3Ra6IyvHY0uyRzy+KMIDaI
uzQcNceTlysNNSfw8mDGQ6jO174GXrRBPlaAXgk51bJDNTyo+WdMQNbQvjSx7eUxgasC73Ac8V4/
r/B+e36wdgBgh3BlYTNfBp7zdHSH8s6enjXlPLXXnZtH+FJD1mr5nAj/Ipu2PcnLTubXm5znKTky
z3Y7u/dho/hLRwBW9zV1E82cJ0vhec5v4/mJ61gfQ5id6BGL3JtnfJb3hXmRJATt3d6QcgqscS9J
N2ZVeqRA+o7zA0PUKyfHTfTPVrlk8SHhgSynbz61Kyp4Sh+m601kU9KsWPOLwgNSNSsVS7tJUiDP
bAy26lP0erLq1krvL9HjFTRiYiGRtVuY5dd17SHyut59WrEfuRZJ5CQprOBjN55ya3INZ6F/8jmZ
DTR6diDzUeSPmfSomOeJZuc0b9Vmi9hw9WuJxIS59LWJYLPkzujqfSGF2fqgGI1fGs9xfldVxTEt
jnn1qrfPv85z/g0suurv/j7N6/8UBHkN73+NLLp+2e+RReQA8Z9mWfCCCS36PcpL/cUEJkACjUMy
kck5+8fIIgz/GtQrXKakbemM7H6jCjgEHRFxJJNQQlChipb2HyC2eL2/jMJUJn+qBfsLkYb6ZzF6
lgHCsNOezL2ELvIiRtwXPQxZo2WXnIYxlAptEyXD6zyWt2xBComl2uwvWfo0Ab12HXnaxHJ1VOzo
mZTGx14aOnftlL3JwWEnkUuR/qZKAxOH9NhM40FprdNQruDD58FrOuk9kuwnsyz3TU6d0qfqrooi
zjFLxooTmTU2wHmsZE9QQRVeM6V250VcIyS7vo3ThaKYQcG2qMZLMpPdya3lM9fkCOIhOWFL8aWN
5rMOE5QtqHxdUqfzp1zimBuOICDxXed0xUpTIeNLsfhHOt+2gWGY9bGMPwQTqKrNG7sun4wqQ549
RCEJVPfk8MGudMhLtJdhI1pm3CRP5W7UptlRUpq3uGrTIHPASNdLc+CCu6sq4zQpNrUemhSmTIEu
SKIuhuLdksbJm6tE9kcei808JQbcJOcL4APbG8NgiMHk3CbKFUSkLWebbkG/GpELs2KkX7vKbtby
u9hAgXydoZ2s0h1Q6YSOn8OY3TRJ9dwxJ1ze5YRt0ay5kMbZiY+NQwnGLls+oWzLRjKzmVTeKFiq
ir685ASJwUdRwlZTajOMBZNF9LuRDKiy0x5TEooBowqyFS3fqRnFVXIo4GF2Way7k0go+pl8+URz
nssxf46EvJULYionftaV3Vxjay7ThS3f3OtSG2ag413dal81R6GltL6MJUgrwg9oE1XVpcmKw1IO
5EpWwOvrAjO52TS7qOoezKX4YJ1dGoUATDr9dKGtfdVGr5meXFZduWVwxN2/cbycrF1cJmiT++UQ
1Xyk0RKnfj+k57xfDOrJlSDhRXaxXF94U58LMuT8uKMhUmjzY5L1qxelNmnp8rdUQ9EUvUqvvRsD
y+k+nbX56VX5bs2kmQGLxVTUXN7HAh1id618zdEyXgm5iGevHKzkR14MqAiqgRQyVtKF9Dtrrb2i
N35a8KlJ7GolDEjXaKQDZDua+CkfV98L8o0d5jPzqbYBGlf5M5f0jV6q2yhJNm1sHdelZNohcU2+
nv2DbAZ2lrxLTvWkCHo5DUNMaXX2JrNva2j2klMf1X58Somu9PNU4t7AMFdxistS2AXJwryAtXZP
BCMprCzK6XxtQ5Er78XcEaWuFsc2tykAbftUZnPIzf0xnu1bnDRPsQQfOucM6optzY0W/c4FiHfm
/nsIsWUYioaM7+8PIfd9+R8HEF/y2wFk/IJPj4QO0mc1gmj/iMOD1oh/VrGRHl1PGhsZxP/LzAM/
deU4Ep2rccJA/ebY+v0Awk5EDB+vSjKVqv+jgNy/HD8mwbgyfCzl1+Q840+Kq6JSGYS187JN5Nss
q+nka7ua3g1UiXuCyzZ/eGtu/yOj+WOAHWfkn487k1YCQYEmSQIG2VZ/+n6TovEEW3S0oqtmlNFH
Naqvkeokb0yr6/ROlSAR3KsEtNVQ9ZIGRFaVWsMhVlqtkd1q1JnmVlFPnWqQUZ6TzkO/P0+CjqJ0
Z6ixDkfaPktL8lJbNVbQVEkg2dsgskuldYeZ0XFsN49icIgxEGYfVG2+G3Q6EoJ+vaj0MJNoVxta
S5iEYaXZnpsNocBaOZp6OBcStrc54k662mVyG9vje68Xu7lzen+1nR1HQ1Ak+nsTgSrOckV7Meuo
F0RVQ3ZQY+6AnFd0PDKuIm2XiEuFyCMwWrn+XEWc7xSwsF4cLSdF67cNWoQB0xhDHd2nMMZJM9Ds
mdLlZqaa7pzxjriSz4FNGNiuDfg+L4POhFPh1Pr3ajpHpnoB3j3t4Fg1lia5bAIhmzdF+dg2lbZZ
rOZbNmJtU+lMVefRCZtO3dqZoQViHmQXZl++EcU47npT/5YzsZN6fTMOMI/1dPwQUuurV8pd3vQV
kx774xq6X9MhCpqrzM3otJu85j7TWNZK5zflgF2APgxMXGLw03RIRm1nrpniNq2guNC1UzcnoSWv
5ylvOWeW0wA9Feg771k1kpGvmq+FVnHRALK2tRL7htGE6WlzR0pDxdVuGKqHJb5K+ca1JYZ8vMwW
Z4trtVEatjg37mh2JHstKnFNFqXiZmYpwUrr873t3MLMJs55UIhX/Hdz/HVzvFr//n5z3FYFQN+/
7o/Xr/p9f7xSV0wYXX8p0M1fsPwjyXZ0ttD/ChBnf3TIDSUjECe2DFOUfeb/7Y/8FbF517ASkGBk
3/yj7fGvpAo2K8XG9UobnNrvz5EzEWQjO0Ptsu3TJA6bqbtLVevBSPQfszXo4FZWWJXxYYwslrzy
iInZdyL9PFrtdQoofa0maZZDT7rFpFE0jRBqAzHQZZNKYXtdb9+vDc+uHJUl3OdBDzu1t/wUUOVP
ninm3aQ1pr/SSwjbeIwvtcpEazcpCbAuw7hHrEhcBx4gt9MKgHmNeFhEXB7U0RY3UURHMyIWf2v2
UudGK/WaIxVjoKOoDDNe6UUTVsPIMPppBFU9s4hrNTuwC867vqILKiF7C8ZMQg6hDjTN0bGZydo9
d79KqEC5I3qByTHqdKKnmJZOMVpiPRJ/AXo7Jwk9/Y8689+b7vXg/ft1tCnev/7XOrp+1W/rSP6F
lQDLR/89bf+3zGqFYoI64+rZuHrmfsvltX4hUwPypWxzTsu284dLrvkL0ZuUBATxmAZRnP8or/pX
e+kfNLUGzmfEntyYFV0zDeA8FAV/0NQa4BlEqanrZiQpqrtYSmK9F1IrW+/RWpP0PAptlfwsbi/1
3B71STmglePsjtEuZNV0lsbMCeYGlIplvK3TeqclSNiEo22GLi/9fl4y7g02i4oJurZWN1KbhbEs
eZKSB3I+Qp6sHiPUDSu+RDKe/FlL7xsnvuuj7rBCtOgL+V3hBI8ThYx9/Q4qb3SX9jMTO61GSsV7
xYRUL9uOHneWWI67Oh1MjIkX/7DgUiN75s6gzlbKDBtmnykqOn2zmn4Zy7GRu+WpUKjaXyclUh8j
Pd92jp0OG0eBA5rMw7iv58yP9LkI4BE3L2mytu0TyuN4Cv89iP5TpfNg//0Cctv3r5+q/frrUaTx
db8toStEFiAWK0UlyPm/Yt9Vuj5XvxNZN9d2kE6B/3upzmN9/X90g3RFVTjbfi/VLQVUk3NNkoKf
RvTqP+gV6f/LfaqRiEvWp04uvfMXf8iktMqQV9k2z+1nLu70Gtr6jm2Zlo8W21uZbsJ2mDXGeYaY
PYg7phJIhjHT58yLTRnrfWhUVkmtBzCZLB0lebB6YAn1PDNETYDJooik7Tswa7DjLLBH+6Cnz1b7
Fmvdm1SNu6KlqQ7EEOkQ7rdEumAt96M1ciXtLjalMO9ARxrrzdor5DoT7NReWxpAHTibdhry3rnT
mCbqniwei/mttWgCMF+sxn4njzezrPtyew8DngaR4peIwQjA8uKFSCqByhVJl8GQL/tY+CkEhh/b
QA1AC39R9YAK0i1W1c86x2TSo94rnYXhfIQRPU92KEP36ebhJq7qbV1vrEj1cnrkiXpOaeyX8HC5
xJ3nBf6NJj1KGpkzchmUAIb663yj7IdQDM8YdDxdes96dB21fsgKRnsj2O8xYT6kIEWuPW3tdjYi
HQc3f1bUYaPU90iYXXrtV1MBLSwNsZu0V/onYJAbK8aSRdLZPE5h2uYHgElccO5M/dNMBjdinEb/
58bJ1YNu70Uib22tfzERBcljTNxQ86iOvCczb4K1tp7Sdbu4kpFy7eWlDcSYBLHNdF5iIic5p2XI
kOyptL5AYJvWWSzyvqhs4oyt9MGUhn0V7a/6OFsyfGHn/ljtZGYwVrSb0x7RG59BZweKZofKtITW
NAeLjrpOJkp7RaGSIHDUMS6U9UPFaLOynIPdPCRMoUSxXVKulSbytL7zVIQoc5fthIk4nZaHVmuh
tYrjqBmEyzl7je6UmZYf9Vzv4YR2bmYbrVflbPQjUt9iYfCJQv6Hm8SztVanWY4BcRf35nJvopoj
ys/LGLFqKGIm6xJz6WhlzNFWaE+Ak7iZMBCf80M8vTXNq4060llRiNNjG+xTgwsj41JQ52/JRKqQ
Tk+szLZaeqsJoIA8ebW40B7iicr90nxYySqDTBYk6kte7QfnMXHUmzJafG5iPFMxg6InhGizddOm
T0t7W/Y6r536tfFScpOZphsZNEqkH7TmsW9/8uZDRqVQpo8JFKcku8mac03Cn7UvOjRX0auJJj0a
b3vkzd04o9/5WadDrbzI0hJotHJNnFJ8i6F7KQZIWQz9MrW8c4rjIJCUInKz1M/G2XVIpeWmJQai
3Gf57Jks1jGadrqA177mR6XnxIN237+WCGEl4FpJLZjw7xb9WKWNLzEuiufaz5F6qgQwgZ8cxbAr
Zum2Xhz80DRJbZqlKDlv877eVEOyb3mrHCpMt702VWnM4iSjz5qaFaJA5N31U4+0UdY+amv0ewHX
XT4yaIqk196Qdkva3M3qF4mTnqE7yNu/JAdxBTJ0TBHItfpDazE5v5W6JNB1EL2FAkbmdmIiGWnd
IZ5fiWBHY+/QW0wATgdzWR6G8SmRleOE4iBa591Mc9iaZBxaklvSMK5pHNud1RxYrSWJlpMqPVpx
5zGg5MLev2WGGtRGdVnt7M4A6JM0/fd6bURPJOREGGXdorU3rRBxgMZPpWG9jBWda1W+NxQpBNuB
y4DmNmmD8yaVuT1U01a6CvcR+db0wSmNNpE0I57As53pCzdvsz9X1osDwqu6dtBH+tapVXsCKV8s
1m0vJ3yQKDyg9t6Z5cuMjszRnnUcCSsmj7ISGx44RNe0b3PrTkUwgI3C1VrrnFb6l0oD37H6yZNr
7BZaSrJsjv5nbL4QqnjrWO8mLYcsloR9s2zSsTzNerzTitb7t1L5z5WZ2uHvK5X998/Pd9tV5V9L
FZMv/K1U0X4BjgWHQ7saxijs8Yz9Vu3rv5BYyX1VJuHoWsRwNf69VDF/RUeQtc4ezZ//f6nCrZmr
MjmMMkGuFC3cE/5BqUJ38r9NdHC9yIDBKm7Iqkk/778LfmdULaUq9W5bxwCPqjC69mNoqA3l7g/v
zf9oKP7FvfnrNzJUHeSGCcL0T/mAghEKWShGtxVJ76Uysu0x3bRT/Z9n8W/z6cGU/M/f6PdvRJH3
xytMPkarJCVat6UlprhxXY/g5ZkO5TJ6nHyuYbR2tXWuGxak2lRPlTZ229xBgKNGJYRrs0v9vCke
tAUPVaG2Tkiuoe0BGnuKFX0fW7xM65CVsEwo9iOnem4z5aFckP8lOptAsZF0BH1r1Xq6GZdebszo
LdaFg975UK6Y4BnVfCaU11huaNcp4jt1MmNb1XiImhhMX6be2OaCm1ikJuw/xhPT6Gs2vqd4xOcy
lJt4jjcz9xApsXys92iRCwKQ23oftVrYWvlH2xuPi93FQQ2fgCk9ugC1F/vBblL2q4amnl2T/WJr
9WbssbtM8FjoVkZyMEuoFKQmu9VMklokuQ+0pcJXRhEKkYjx3PQ6R8xfOiHdCAuJoynoJJYZIqO+
iTf2kjl0HsQRwxrR5IM/iBIpN8O32bIUt+9GERq5PDIVac5Lk1wyOznKBkF5Za7XN1lBceJEC3O8
mdORoscJS8dZNoiQ0M+sWneapnndNaa+4JIqpYfVRs5clIE+dtJTVzoicCI1CQv9ioHsc4w/cwJa
jN1YsTocOYsRNy6g4BIHRpv2nrbES3U1d3FCeYM1fLZmvG/U9AE84acTaTp2kqrypQrVjI4rcbNo
CN2ohjeTpVMzZ0FWrac6HwPRMvAaSQ+bRn530RgqEnOzjDeFmHMkS7FmoDZW++gsnFi2LhGJZ9HB
RFuBFPl6Tm5167xo8p2RpjvZxFGkWmTtYcgqkk06999d04dLsafepoMr7jtsCxNapNlSA3WkItMV
ABRva2RSmV8NMVmQapHvlCIQeuqvAhOVnfgov90M2YxwHh1JhXnKYdVZPi7Tu2jq3RFxUlMQCh0j
5Z2QvSAksWrzOKOIWSsTeRO3kf/L3nUt2W0kyy/CBrx5hQcOjh//ghhDwnuPr7+JWUmDAcGDK+l1
Q6EQFeSwuhvd1dVVWZlTzxIAXuCAZwsA05q7QZjAioUOHXYt7wASyzhrZAV0aX1I5CtY1+WudwHE
/BgR23up7fnvfITtTlsUMN5MmGpo+gQ3Cxp40MDApxBiCDqlHn4ytIRwGEFr5GlNQ6h16ykx0Djd
cMcxgKjBkXTZCKR4IWfhuaxqrYieolAAviUAcgh/Twb0U3mRPHD71ae8vaQDqadRaxfFqWNekC9A
+PqYx+haaEe5J9849iHwj4lXKn2Y6AyaVicvRQo51JY9IM18pWdKGRhsE09QHXWTe6QkgQ5mjlTS
ghmXBqhWsKmMvlC+h+NNmxARdPK8MJiSMNiROfRhrYRiZHRFrdFEvAuLcN93GTDl3IAouK4wVFH8
MTSpzWSiCZTp+0hX6m1/PD12Vzz/l5/ElTX3kwi8UazI+cqEJ3sNzPrxpJUXTvHPf3CW/i8TOBUI
fx8eKK+xnzUrwcH0Y38GB+x/JNAM4/oF+zt4Sictrj+Dg6kaCbYm1CKpCXDyPY+B3AdSdbj7KZom
cWd/ZdSRCvyHoQE1/UXftwhKgMipA/IyZSWFZXCAbJ1PNqwEUHtKF4gyKb0REM6zwWj3XjRVljoD
0GMA08AoQCIfghqNu6ulvJMFDu40bwFz5XnAXr0UWGMveE/C/NL2uNYScfDkmEytuKo+0BeNhiGP
HRWITMUq3DSJiBy9ZFyMS68i/NiKcsqIUWzFnQUgXJp0x1xySeCSAfPENWkwErjMehfdix3Jewoa
igsV3EbaVNSX65Ec0dSQgRWXx6s8QkdLX+LRWUVFoY8UunfQBo18oBD6GsFzcKlSyOppy0CKGs3K
wug71dAeRhGcNgWJhpVsrB/zEXJeA1vCP8G1f+RE5IwpffKkuFJz9EegXZm69gRzRGGzt4omvEpN
t2NKZEmQX0DmBil9m24p0uDpEqkYH685PLCRG+WZPnPogvUU9Mw1stjGIJh3Iw15T0x9TA8+ETxl
jPeYZAAAeyIZQeoBmMZ9Rye+hK5FwWlI8l5sxNdo4A7gf8DrQPRbvOlZkCO2FlNSosLwYdS8RaIn
ZqciA7TpOqS1dM9nUttGsoeq7/8SmuBmmGAHCOlv+AH/tYyzuv7x6zNh+sE/PcGU+QeAABA2AQUx
ikOg/qcnoP/DQEAUKXnoHXGoHMCTfxUGMAAa+lYsj8rcvLhGT4UBCW9yjkF1DdK64t95JtDwUXNX
gMIACzMsK2JsENniFrdF0JAiF4YpbdAti9iS7kXcpI0fjM8g0C0fETVkEpq2CpKGSK7LIDQVSahi
yQIhnlu+yEYt95G4cZsySU3Uh0n0cISc5NS5ZwR1wqnAV/g7JmWhbB1H4g5PILRg5LXasC6DXpjs
LfXKaEQ6VPSPdERDxRv9nSJJ/5eF6X+X1fTu/P0mdX60w6/7c/qZP/cn0uokACFgUwT5zndwDPMf
CrUiBo9Sloeq0gTc/HN/Sv9BNQspkqk6DDAmqlN/XlW0iLow/rQIQh+SxR+Q/s7+/OUZK/6XJkWE
1AigfMziGdtXBFJftAe+SZI3YoSw2ZjrXl298nhrzRbm//OQ/TQFpWwYwl0roLA3j5t4IDUhpUUA
ocXDt7a1nUi8LXnj9d+ZWRw4EX2SjdvATC9CeZ4a9KgWj3zKbqkt/HLHYzoUT/IMi+wEVHIXz2WK
zj2hL9GcmT+Poi5ISvuQVDv6jxzRb9/lvzz/F2aQz5ivGg0mvpp2xdgEGwJyqndcSyMnGmx8m2lR
ZuXLKZPxbTKLb+MhDsldCVa8pHsBfOenDx2O299llZFnYqMGmAFpHbw/vs+kKoYJjgwCgifdVwI7
QldvJEd7YPzRQX5PPKMX/4W/VBO35sdt0+tr+JflJXMmOfAi4XawPAhAhaKPh/zRERvTW7eBwjSk
Y1kkq6Z7YFYAFhtaRIpZis16PLAgUg7RSF7ijXR7Jr8+Pj4/1J9mICj73QxeUmKeDTDzEKa6biAr
aSfvmZ7utzh+V+cjILBG2VwUUSL/bgiqzHke82xsZqhmxWht5v1KSeuNL7NCUI2NNzMz+afZsiWB
4HZhAjPQZbFBbisahMzp/R3Y2Gzq0fDVEyuPCvg5mrvS5t/KPfMHqPPvHbDZCBYesJDiESxUGEET
mRNLhofUjAQ42z/5cDMzi/2RJGC+SmKY8R6aA2VGRmkKGui3VXJH/Pcq/u2MWKzZL4d5Zmpx0LK4
IJuogqmQCXXI3GrJptbY2rVBCcClYWfQoMxf+AvX8yt2TGHCZ1ByLAg5BCWAC4S6j9bf2ys3jfaX
2SDFC4UgCiHckjpMAu69qNMxBoV5ZpdH8pQ9oT3nsd3y56ur9mVHWJysUIrjTuqp2IzZH+ju9duX
2/NYoT7EVp8ZWFwYXJajM2Da6ux+8BUS3txEOVQBIY2TdpD8QG5RlxiALzYWcG1iNMcjjGCRSkcX
yPcj1g5i2SLqwwZPUZ/jBosSxMfbc1tzFsjG02hAQYyDK/G7CW9gxYZFm4FZFucCRGQiieY1dkvs
YoVclEKu/cvMYiYgDwrpsu3gkzTiyhtoEdFC1dNck3yXDE4Boal2e14rVLjfLS7cU5eMbESAbsFk
jqVVHkFDc84UQYsMzzlBq1ZFu+sjmrmMXK6VVHnYjzojE7rwDw70fN6LA+2ijAYAPuZNhPcpD5br
4GFjnmuHbGaBXawsIVXUKCaYJ5iCXptXsIxQ72kmo6Cq4WyrosrKaLe5egD7P3E2qHpk0eoVUM9g
1pnOKORui2N5Y0uxi5VnybqGZk6PY+8RChX4YHmxwnaDp+9XYWBcp/N5L5x/yYwkkQpYWXTDKKk6
WrztHagjyJFkdNc5aEuSNcLuHEYJVEIdzNvLPkHcf/Ftc/OLS8FtCSmmMyw7rSCTDu+GbmrZAJGf
Xcoa+kOQ6SnkLbElavJkS49K80ibQWoNmR9y4YiazMt7xq1xPxSuMkS4H2gerFgeiKJIlN+pFMTi
IJaXkNQWIb53e87r33XSoWTwbmeW7rwaB55z4xK0gsOjCEYJiHvKg/tP+DRpFPn+sLJ05mgbIlg/
xRTrIdZowClqNKv4VHYeKYBW3Y/bc/oV8v+5jf4yJy4O6EiF0HYOMKlB4Y3QChXVU38OSmu9ZPKT
qCGtr2d2YaBD3Xupd6387O9C+d4ULHoXqVewdMnvhALCBPwC4HIFtAxbO21j2T+Lf7M4q0winqAj
7LTRBTVF20NGNdVH0BcxbzXIyLrioYuBgwK32WDWkEjKuVIv+lNJ0NrGWk2hwa+776+1kha7rwXY
MMorfJpOi14iE7AgEmIOkiBHDqsOevUcHlDzsf1QSd96M1KSfbHn3qQdEpqdcZE5JFJkAa1jotw8
AiJZmKQxXCqTuXInXvOOwC9s8Wb/5sB8DZn+fr21dE8WNNSgTfBgHiMD7evyoVY8nSE2rup1f/Bl
aBFWUTHtst50Minh0orHnLwI1VssbNzWK/olk9f7MrO4rmO6rsgug5ldo/jPoE6wo0Otxnf1SdqB
bUDzd+hqBmEP4Klyfr79/VdUJ78bn3bqbCcmqHGGVQTj9L7XCT22Gsg3iGjdV0Hr5uqaFp7BfHWu
lVEBlAVEmQ4Nqbb4sElzP220WxtxccO4I1qWshxHInsoT9IRMuYKK4I/VKZM2YgPoM08t7Zw8O5Q
nUUD447YijgnmMLNESxuH26E8lk4Yl+xxv6ufZMga1HIldruabTJPm5pT9Grfl8E5hL000A8f27z
2cqjrO12vQAvxUmx3nOpQlf1ewDqRQZQsSByAe9DihyY+C4Yda7IFBd8ASMB0q2gl6OgUQgXt/3Y
g2KIU2kPzJcoH9/eHetLMhvj4gTUw4ANImFJQvZn1d8VIBMUSnBXnQIfD8HwKJRo8kdxJPSfOqn+
2wzo2Joz4ws3nsQgY2RCGA/AlZYCF+ptffLpQv9lz31Z+PxEs08gcEOH9BQ2PxOEp4pk7nIquy8A
XBXd3pISTvdGauO0f77FbtlcONzEQ0dE1WFWhUYBGSjTnVIYgQn2GDDsqswJMIkDX8r7O9xMdrkT
70abORQ4ityZ1MGEWAMBAepbeAIfupMb33v1cTJbkIVrzT1cTAKDwbUqbYP/YLwkdrAvoOwwavFL
cKUzVdiQd1j/BgKabVDyQ0/i4iu3FJqZGwBVTGTixShSMiSFmoQEg0UspyLwFsnb7UlOx/jXD/CX
QXHxsiRENsK5g0GqMfyQckCXR9Ee9GARTRcbX3t9Pb9sLT62R0E4JRdzbOGOB3EJ2EEEf+Ob/caP
fNlYXB8EQ+cUU2E+7llCpyIrtybkbI+iTZ1SJ7L5u/BA7YN3bJxMBU7Y/Li9nOvPQPHL/uIGqQKf
7EMac4xEJXiVUBbUs3P2AwLdjRI5iUUewTzobQjBrl7NEkVPnVhoulq+kLwh7Psqg9EG/c3AKUoS
cKFpB96/zRzf6jecmVpcTFTRlyDthSmxBL+sxD4QVWSDW8ugYlIDORz4AtAmmWGroi8LySq3eu4z
MIxkw33R+Nbt1V7dvBI7PRfYqSy2cMgZkeSEx0R4e+5KEDK/dKcqQdfixp7asrLYUgnVtE1Yx5Nf
RF06TKWJnDUaZMHrVV/s7gNJ/HF7Xus3zWxii11EEOCtptMUcagUKlX3JqD3naWfhuSSkKe225OA
7pQveRUrFMcZt41vTXf6/dk10PPQvQx9kDNK4Gfx5RL0Ymj0fRKFjXhy/ajOJrl4YFahNIZhgXUt
NAgoH5KX/BmKG4IsOgXe7/wJgsKHaledGKXeB6nMbSQuVtO7aCr8c/cs7zuRSZOsbYCMDy1eaeEQ
fpRH5g3p/5fOaPayDKYyGdDrAdQWd6F2rY1uR22J2q4dJwb0KCxy8+hq+cwBzBY7G/2ABNsa3C/4
mHM0N4zphoNfTe3NTSz2UpT2sdCV8IheiFIQq0TFvksO4H4lPFtgnpgQQInskNM6ybxE44EWHJ66
3N5Sy0LzZwlnNoZlJS/svQrkFlN0J7+MZqwjm4ErlXrijcYG3kMhDsxFPHbOoPJP5UGyQZClANWn
MLKkbulOrr4w5oNZ7LvIZVsQ1WAwjT0YHET73gqFQHO2UqiNWsr3vvzQyCrIpja81WcRaXnXzg0v
Lnc01RcDQ+NLoFdd7S1W88zYCg6iwSrgslVqLQeTFaRQR6WWCU1QBkQ4EV7rHdah2AnW1kqsZhBn
A2IXl38N+pSQpjCgTKZkFR0Y0ItkDQIpzCeoD8u8GhjBPjJiuVfAd6uWCgQZ8GW2xjHR+fwShMzH
sQgMKr+DZIo3nQIdxCTXROsdTiftWs80Tn4DR6qMRKpNqTTyF7kVYa3exwMFqjw1g2qsdCKwSLxO
7McHElrgjeofwO6mI+tpXGu11RuFOW3p1kx9ajfHTH93k0zHsCALwZjBa3gJLvFdeDf85K4YoMOe
S5U3BPkl1V1rNNgjQBSye+VsWvdO4WvkAJWs02qkQ1f6uJlBWwsG5ou5vBTZ9o/FRLrM6LQ3cLXK
lx8IH5G+8ZQS3+98+3SvaKGh+PHlxCZQ27cbIy87vh6xjUp1f4QkI5KyKMepmcKrgkEhE+vb4Y8t
o1t7ZuHWmnys2KSDUd7OQSWJufaOoCd7AIQ16QzZHRVKo6Keatzz7emuf3ka6DnAJhB3fCYRZj67
Z1uJinlczkinyzrwzFp77HegWzwVrFzb/Im5JM4IAdspkQaUnIoGLvUcGp4a6Bl+CHyB8rDL96li
3h7ZagGWYWi8ogHmQCPBYk9SFQdpZbzYTHcPFsAdePldfSxl+j3dU6ds6wJfPQEza4uNlqYj3bFU
ADADSNS93CmhEEBsBZyf9e9fnObMyuI7l1UrZlwIKw8viRbIb6AoVk7Ish3cD2ROZZmXtSvkEOCU
Smzun1herHa4R/JoIy5aOVdTlIkqEp5mCLQXToqL8EqKsxDeG2EteB5DNefRiaDe/oYri/rNymJR
x5EaeraBlRS9/X4LDHJXqFz7D3SqvplZHNmGrtyoSxF7VXhgllKgFQmIuD359mSmC23x7b5ZWTwW
oLnlDZ7ko4COdk4wjRII47zpX89q/Fc33HXExkuInrb4DZNLghugusuS9LB+g1GhR9UGrhMqP7go
zsQjmlsdiBf6e0KXToOFJO1zpoIz099HW8NYSWfNZy4u1rdm+SpqcpzEl0xQXCuys331ApVIp3DK
g6eLF+KD2uNuP8Zn77rhBuhpJ95ag8WR6aWkLhseR2Z3TFVOQ0/9IXqlIdF5imXNHB7Rt6n2RnbM
EWBv3YubH2DxzbkoFjkug/HuDAJN90SppSMajaegTqcXx+zEPkEWyCqcwVHO3LGyw/vbm24tp/Rt
7RcPGC6vCi4FkhnxHWlUKGU/g2n6XBjNOdabQxSqo5FY3AG3A14ezDunenp9Li8l4p8dpfl2Y2a6
qNda/eDpt4e2lqyn0CmF9jCMUPgE1c1vyiIf2BysgYAmnIRdsceSoKowvqKssVVYX3nFfbO0WISC
L8M6oXD0Ahbc1QMYlUq0XjS2FxpcFm+UKled1te0lslbdJvlfC5+nnPoIBXvnfCQgQppY/Em1/fL
tp5ZWdxuLjeCEnm6b4DNA/1E3mkdhGySobsGkPNhGH9PMtVbwADuHCCMnmDfqWsFgJ3fHsj6Fp8N
ZBHHdyQOtkDhKw6szr0HpnScBHCDe1and7TK2OjGPTDn/JHQRmMKgYJj322NYWPJl49XaoDKespg
DPvw1N9N8c9D/VaecgdtJlr8ACpaFgFwoFe2/8Ip6YGy80OsefrGdbW1Fp++aBYMNV4U9eL0UZgr
AnaHk4sHqHX9TGTuGpjMhb5jzrUWFwqapocTsGCszJzIw+0PMiGsb+2Mz0HOBjGi/XtsCuw/mP8J
yXsb8IDqwXsF/aNW4hER7skXNEShbiEewK3+kJm501uJgcrB1Kas8I5ksHfBXngRPZA62J3eK7a9
FbFuHMnPfMRslJyUlUzE4pPVTv8G3qIH1yCOkcldeju+CK+k3hu58bEVtkw3zS+nBvSroJKh0O7B
LwKKWCg6F4qUsEqApb8ivANBodZ7+wusBONTOfsvIwunL8ZcWUMXA6mcOL0mwwC5kg59zU1dqFSJ
Pgg0bz4MNbGRLF+DKFAccMYgygGYXlzW60VIEzbswEemm2bPUdnZcdjtaZD112F/5AR3D86XCzX6
Oj/JgRWMxoGMQaa67DkRhFMvguK1FbfwKmsnkyMFDmSDE5J0eTL7KePE8URksqXOhh9u9jyyj39/
uecmFqHo6DFt6MVY7mRs5KA6sSB7F8dJfsq7L7D4or8FdFt7WmCpv2a1cL4dKHvA5oBtNBjkT5DN
qYUNipN4V6BP6BpshE8bSzj1RsyvSTbjeuRbYQzsXe9+3F/9sYawGBR3b68jvXYkZ7P6ZHyZHcmB
isWR86aL6wwhDMOTezM/9tdRHp1U51stffwBDKvavVW7fs8BRQ16Ew1KmCBk2ERGrjmx+VimRZmN
hYKuYMD2mDQ6d4eD92IxL+/gDOC26virQcjc0OKwCqSXUHwHQxBpjMz6Q7RqIHqg3vwy1BsLvFYO
mW+bqUtuPimy8TySbHEYQP5qopA3qsyja0Gmz1e0+JCp6b57u/1N1/Kdc5PLpJaUeALRF5jeHgoY
rhwc8iOEKhRXJxQGajRHPlP9+41rcM3JzpZ0CQjjQPPOtA1sgkpaEbKfmbcB0Fy9Z+cWFvFck3QN
I02Ro3TklepHAPUONWUt0eLVUgMz/x4MnrtEV7wTu0uN5BHp+n4rYT6d8eVVMh/DIu6JEdAiu4Ax
AN5Iq6gXfsDP2/lOPEKl5JibiQFhRPENklMH6opOwPJQ32+9L9ZumtkYlt2LXtQwfgbdUzOhkE9J
9hJIMfgaWgNGwr/V/tPtzbS17MJi/7oJT9ZDBgcBDVk7CKPHFjqxXMoDV8zZFJPrUBWB5Cpp9TXg
KbRnNELrJFHy4EOTJyxpg29ZK0lSAxeFkqNxPcgbo2460GUGIDa+Pdrp4N74PsvicTJSTFBzbmR2
IqkM46mQChDO9GAfur9taOtYL6vGvscOBTh08I65o1Cgtt1zafnX3OTOwT7dQUgxOG7FMRuueiLr
nXuStAKRTRLjS0jSe83ZfeGMYD5NA1OkNosyG8dZnA7CzBVHGZlno4hNhnS41u5Ql1LbZ+ZK4f8o
E6oJ8qn96e1RvM417HoleklM7i27j/aCAS6tI3Wf3tO7Kw3sLVKA+/6p1wVnwhOFdqBvHYi11pW5
v1tmPOi2GgtiSrIQJrZV8hAAmHSJ9u6VB8nAsVJpC2y/TvNUKwOKthvvkI1La5nnQB90xgGmii03
mlmBhEvXgKtoT6YQy7JcFqRYzBYsYzW9MXMB4uKizDNIHRfTpY33/RnKamp0IPH+ArL7CILcPYG0
M+h6TehiAQKc7bYgGmv5328Lvrg/B8lL63TaibunQiYRCtUqkJTBpdN4O7VQDpCP1unx/ccon54J
u7A09PUo8asrkyotXx82juJGrCQuLgYyg+JQSyLhFdL9oaMhw4jbINICDkKKpJ614J/nUB0hSMgX
gSolITTkNw2q8IGHD//tYBbuki2rXvJ43BCVDXgHCZhp8Fjeewfob7l3VWP0ynjIHMLaWIONS2EJ
cW0bt+55EWZDa3/nH5sJuvme3AtgXcU/YPcP99mVOBXHQL9t+bN54IbLXUJXBZ7IRhSvABF6otS3
OIcwhBxo4iu1K4/Co2AWRmSlQGmzO94UXkW5f4Nmug2CFNm9FEBsGvm9yR+6N+/I3G0MbS0FOTsm
SyyrSAptWosYWqfoR3io2HoZd9IF4l0Q41R807z6+w8UOpNdqrwWwPc+hxrhSKq/cSsx03m4tUYL
b8rnDML5BANpJqn7yuhNNAsDf+yeUWvX6mN4RSXUjo9Qo+OV7pDdo+8EctJ2BPDMKX6B3JTZAtOn
Qpu3B/wzUUGAa95erE+kyK0xLl7JTAQ173xK6RBldSdSsZWD8Ubo+IMAZGUfogRJ2W7AqVAuAAPe
IxCMatkbtwexsYul6Vaa3TolOYZpwmGdKjv5SdqgTE3R0ZBuWFnDlszdl7Rwn2Pb8iU5RZKUa4lw
2QJnp+2OCyHaxPuGUDzTJMSLqxNy2NZEIPTvJjltltkkabfsKJ/EJAn6oVc9SDxBLHGMHpjoMa03
TudWmDI1Ks+NDQQfVPn0pGKO4k/BrHfjbjhAhhWq1oXcnrMPcsept+e39fxY9lq6oA/N+AE3YqOw
drBLwIALYox7iMg7AG2+DQ6/k4DY3djAa9iCb191EZsz3uixVYmpPpFKJVcvmREY1I7VyNdoz3LK
0O0AH3KaR9D1H8Mjp0tXhE2Qg2vM+L5K5HBHmxtD2lh9ZtkOKvA55+GunirkZCy/NKNcnFEKcVxQ
LqFlMpf5XbFlc/Ilv5xjUK6AQm3iW1jGBmDVh8R8idXn99XP7jDcJ3sQkv3sHIjpPKYbYfDqgZ0Z
W2yvuqw9Ok1gLHpgUxU0+IKiDNdsqythfUvN7EzjmJ2ZFpywbQ3hc9N9qX4GO0iP76jHDGUUlDGU
4U3UI3WrgLUaVcxMLrZTUUpExqYwWQcsCCuBHuB3GfW+cVamBbrxtZa3p5jxTOFVIqzo0DrTKTUx
q7P3kj+S11aD2qiWXBNslZ2/Ua9YT4F8TW95Nwo5k8Reh5dS8cBAAV0vd6Blp+XSTu+33i3r/nZm
a+HWB5eMPbRkR2brlHfR2dNYqz+XGu2QO9DCCBvX/mpAPrO2+HBjX7RsFsAaec4d0IoGBmdnqHQJ
1r/6dvzydPsUX7J5jh3S2ADkv4MUxCzu2eOgZ5ZgPAdGYREWddpEt0zPvN9vGYiYfD8LLghIuIrG
l3NzaBmdPJv/KM1KNPuH7hHKuFvFxOnj3DK3OOJgHkXBLsMshe5KTTR+EPW+vZDrKYa/vhhAJd9n
JNBNlEPtCl9MqS0XtengEKFKgjr1UXRGo1FBet5rOAtH6sN/ASDAgVD9ZWMQq8Hi1yA+D8zMxTCU
P0pEj0GMR+LoXXw9ceI3z64MyCVYaMzCm6qGbIrGOgijQXi4sQhrECKKm9lfxF9Ui0bHjIV9NofI
JfRZZDxW+lNtFUa9a879hT6SldY5eaI2Fr9RP7rtx/nPi2w2+ZwM64HIsafSmNoTQaKC4NNAHuWj
gRAK1DKhyp5v5NJu+1f+0+XPTGILQ2JsmDwfpGezJyHEdw3/lSvgPxMHMxstQbg9NTm5RlDjQmv0
+sAMcigTVvJ4e/vcdjr8J+JyZqnnUHTwc8xmvIJW+C49xo/iU238o2TD1yZZVlZiQoB2TAEzKARA
Fw30x7J419rJ0f9nUdyXqWXeOvQ6MAwI2I+l7p57POprvXVY7cJ3covnHAij/ctmZL6xjJ9lztky
NrX4x6ULuOcgv4EVWUseg1fyJ2dyWuMEd6IK/WYRFAO0evsDblyIIEJZOKGYgDAqhb0CHVTIN6gQ
HqYtMpUpUSXvauO2tY3Nzy5SeTyErmKCweI26GDzSyigNqoAsMhtK5/b4Ybv/myMnS2n2DGDy08x
jKDXx+DMqiBrdMBdrd+hf7qxBmBQaoNT47331D7ftr3+nvzaP+zCn/kZCF/g6nEiILjt0EayoxyC
lFtF1LNE8R/Kh3xjUbdc6BKFWSYD31AtPiH/ggpS9iBCiBoq9k6lp6OSH7pM5uypjZezO2sryFlD
6c3997IDpZb4HG2oOJrZA+QgDVGlT4mRa6OS7iDZXsmR2TueXZa4yVobOrAlgBKSKUKm0iH0zoxU
90Kcem7jWllPz8w+w+K1SfVET0TttNOgnHOQriDP3vcmyyicVpvuqTRd1X9rTdcqbCg+VjqvMrve
7H+6l1KnH9Gyq+eX3ChZlTDpi/8PGku+LdoiuKBS9Nu1JBaN3Wev7dHbl6/Dxh2wddQWTwcBpGxN
VcMEwTgs1YErdsf1TxubfcNvsdPvzw6aF0kxS49Y5VaHeCSQ49fEdu0BL83RTBzkxC/UHsRudnFs
rHQjlF9r2Z0vIrfwXEQGudCgwwyZY3JmFSjNgSdsnzjusTtlSoNQpjtxe6hG/kCbIJQfHLDoqK1R
7/9ZFvJrs3ELt0aKGUsTLA4g9N/kUEcnkhwpPPqDL4Vq+7annwWVPHzcXvz1bPjM6vQini1+PIKl
rJ+8HG9AWu+t0Vqnfop4OdqN50GnlKaVGx0yV2eWkVlElIzGpBt5lhVhFLCZzsaw8HY9ZE6ThMHM
+/fxKTjEiNC6R9pEha44NPvMIS0OYZykpFcBiXpuxytvEE4IUA0Wn/MDCTTvObqjOa0zby/OxsZc
8hv2XFKVTIpxBeETKT1kKQiSD5z7wx9+kKXDbxVpp/P664XDwrVD1hj6aIutGCPfynpwOGYXSkYr
UBogLxC+puSypO22GbTbs2M3zE2/P/vybViNDDOlH6TyPDCHZni4/fdvTWfhnugUjfDtiNWTKs2F
LAspQz6iTexqVG8bWk9eUX8t3JIRA1xeFYm6/dRr3jrpc2oxd/07vX+TkDijkTGqf0qK+0w8IBix
yFNqBsipQ3xFcqSPcJ9cpY3be/098DWcxcJGElWymTt9x5FUmgikCkOiUR3UQKpQicP8DD3mjSWY
LqIbW0dYXFSl1FZQeMFaj76KNujxLIgQh964DrfmtfDTXU0HNQ3OWZM4Qjw5fJTOlcMpwENsfM6N
ySyrw2nbjN0wlWPAtoiit9OJz4n4RObPrveDLWs0Tj6H5Avb7ev4noa2smhXrhknJjs+Se0FMntB
kihjafr8owDGKbJ9YAGz7Cn99jh/k1f76zuLi0WvwN8vuVOysKEI8BYFCj2+esCDS7klNJchYuTR
N1vABLszRz0n0R3cLBSB3jaGsZ7S+BrG9Nlm53iI43IEgTxSGohPQ6jd/OAuVKx67+k53m9mSCdf
/LudJoFfZ2ENvYAiVIkwaa4tAEKACCJ1Dpsd+q/AjPUoMh9Vd2IatN5RT5CG7ZmtZq/fxKn/ne40
gMUuzH0+C5PPDM45P0kXt5MZczrYI3iFGEbO95LDmqhc6uLG9v/Ng+Avy8v3I1uDdgSNM/jeCvPE
oTHMO2R4YY2q/5QZ9DG+8GBw8YzuvXG22JQ2bS+CAz9BrpMW8ZEjGXLegk6Rqp/sM8sfZWgBPfhW
uJ+wZYXp2/m5O1ZOtuHU1hF8fzhZrPsSJFsTRRkEk1dLxezIec2+7LN9Sbh7OhOMsU61pGeUiEiN
VIKQQzGcb2/z9TLgzP4iSMhEge2lACuQo1xO6byA/wCrEOYySP3DUwhVIuh5yfDs1wFt1uCfE7Tw
SlvSvjVQoYB4gS1ZJFo0K520gFbToPJzv6U08puHzNceWfj+Ucgkqp1eDC/VC62VAZr7QizHLncA
ZzZFK8KrJkbJMnyQDBBvAc5R6kAZqCStQl8r0OtLbJi3V+7zPXzjyH6GwDMHkWU+G43xtHd+dujm
YO+SfbSLAUqhrq4xOhgkRCkiMJ2r3SsuqWdJB8WnCrZxbChOEZ9KgMGvUGDTI4vbN3eVRV7zQysp
7Ntmb9ytK2baZAuX2sCT5WyIoRLX5qG3GD1OFMoBPB2a6C/je3hHqVOzbQ1evMSiT6Q+diq3H+4A
jDr1RoJsjnsn7NJUvmi9BmL4/F56ZjeSnZs7cRHYoPmJd1MPg8T7GETtBxQBPLV6qK1Yz+5HK7C9
c6uEBxf8V57iHmknQrGqeuLVgVMSJJ7MH8hy6yMq/So0LdwDBEA2MpKTD7z1xRdOOuFjt4krQExw
e/Lo4kSdsjizQgS11wbYyQCSMpt+eeNiWFLgdlVd9eIU7mUytHM82ZINzYGKtPtEo0Pm9pZeR25/
OYPPYzjb0h4v8mzzmayo3gi0nreXsb3rgSSGDk8PkYESIr88p0jEOYjR2Rc6bnsoOKAm4vvbI/nN
++mvA7/EGgcCkGXVlCXdHcl9th8dkL1oomUovAktvIN7zYE5wKI3cmpsFVE2PvMSfixgthHVwdlA
kubYpRDEyTiZ5KOd7zeXJmOvQ+xCM6Exbs/5N9m+rzkvXHFMjEGTZQjQiM5XR/baFU4VHEnXofLH
MLv0AS0XXbGRj9u0unCtTe6OgCDhAgKrvBJgIxfEzwrEguS5YM3Kf2XjSxNsdSZsXbyfaK7ZTiPE
DLp1U2uCKw0qlANTkdCbVKWhfENn91n3EzyAMpuNMhkkMsmd2BHpZSut7jLiR89e0/bNn9TZonJr
OTbO26eXmg0sg5J9nExVh9ypMBa7AGrSJrT0lTEmYKOcfWyeuvVs0Nd3Xzi+liAr15syFLkDiODZ
2xOvTaSXtqt1dqMlHFpkyMdwI0OzZXThy/6PtO9Yjlxnmn0iRpAA7ZauyXYyo5bbMEaOoPcGfPo/
ORH3qMXp04x7voVmMYpQEUChUChUZkKNpi6E+WknbCcTJUIzI16F7uDrPj0fLH9HTPDRUx15FF0W
sEWIW4GqWcEZCU2RpIfYIrHboHM6fa1qt2aJ/EzXxTGhSSWg4MRQQ2BN4bFUcDKt3qIR7/f1Qf1L
zvY9qsVGVaHFIslcm98G04ekMlMU5n+B7IztBOMRoLLdir3ZAa7N4mKLEnWQk3B+YanQqu/GNyBS
9ZpTuJUFANsnS0cRz4jt9gRKQ3/F9GU3+R7q/Puz7dAYslDKNUyTA/vAhsNN2EyOQNXvpq9xE0Rm
v0nccOWqujrBi3xF1uSu7hmsDqAZZJKJy95Wv1G21DFejDW40uWL3vcQFzuhEnJFihXAlVIoxBr9
VjCekuwYlXcCA5lq9BRK0MoBr2CT5tbK7M6lpysLu6xNFllWgEQa4yyhFXYb7pD979QbiOKkmVmJ
K3vxXyL9PwNVFlskoIk2hjjHvEnO/TrM/bGsIeOGEns5yh7rg4+qEN8H3rt5Znj/41AXPqy1aLYA
LzeOGUlzsgL0PWwoNoMu+RnV7/O2dTsB5Cs5+BnA+XLd+Mr+URYBNipLJckF7Fe5hiqKHTPrN0O7
1+a6lXkE1xZz4UcGmQCx0zC9EZPcPEpsoV9x1ZUYp8yJy9lm7EoISGUCLISRxaGVFjgQrS6kldn6
l1eyf/xkWTAdRTqATQvTVT4XDurBkC3eSt64A5CAWzWQ2we2wqJ4OeP6tri4hmc6eo6MuWtF7CHL
GkSqT3ooxPfkGI/VBnpeG7Wu3xmEqa8v2b/Umr4NL7aEREMVAtnwSuZPLhpb7cgRHB3YHQVljxo0
P6m11iuz4iZL5OdU4gk7SDHWPHltwKObZc8rg1oJaLNA6rmbQEaFkk7F+jGfgS9wW7rj27tyx+7r
Y7YCCfyXNpnvCVycD0oKpqJ8mre1sxMtcCYBZTQ+GxC5tlLdBEfGFhp9G/ld9uMjiAbc/A7cXSvj
nY/bKxtPXZwWYRWF7Tg/dEWZ14EjLDygUBse+H7czJW64LNYAzusHVDqMqL0wzA0Eaa4gr+m1JPq
FwUE9qP+xCfoL/LCVlMD9//Czcq1FHUlmqmLOAPVqpELFFFgqCxjcBmHZrhZ4Sq8FghWws0Sx9tP
xaRmLQbZQEacik6m34Dq0BXElbC2MqAlhUuZG4KCLhJUJ3ZSBMZm3efvY7LiJSuJzCzye74pygLk
AGyEEaqGL5QLz3Em+pzI7nVnXNndS8UiRdAh1t7PjjH3DoWJ2zLZvm5ibSSL7V1pETTt5uwzrCz5
MwWnbrJ2AqyZWOzqyEiDJp07hxpH3+SQqjcVLzILKwEZm3rTP0IREIp+a2nuSja0fG2hgxCKQYWB
peJRLp8M9Pcr/a4dIEa4LcFuHQRWHK3dG/6l0vBPBFtCF7UAoLI4wVjx/GJrN6+9D/hmujPA9FZ7
qS0c+fPwAKSgH9r1IVi5Sqy5/uJELwaFtcocqqfWD2eAfGoXkBiUpJuq/nXdbVbO2CUgbcy0tu3n
F/kGrR+Jme/S3+D1c8Nfa1WylS2wBJ/FBOSf49w+XFRHrQ+gDjCt+Oe/vGz/s2bLfvLEkLsI4tPz
m34Foi8g/RwGAqrJaw5zb2Rrvnc2t0+1BfDpiTkJ2ArvcOm07lALtr/WQsvazC7OH9L2Sss0LGLj
QPS4wvkj40X2GBFnjatwJSIvUWVGxMaJSrBUAL1EwLhvgpZfW4WiXz9Q5Vlk7jxWBnnCoz6AGQaO
INHKdsYtmok9iHowsKuLzyue+S/FoP+3nHio/2kvH/sp66DS65FN7hNnMqVj9lkdMnRllx5gg7hl
fkLj2J1ugdK4XcvbV80vDtQ2YWMbzQ0/g5PK1rRD0el2eqqhf3oD+WJ0+CpzZPADizrNw/AmrBwZ
KxEIvBk/h8/KWCij+XEDlCi32i8UwrY4PHTLsON9Y6nUDDx2VO3KhjaYsInv166hl4ge0Sjyz/z/
uTie3SuomA/pIGMC4shMtrU37W4ja/SiDXiiPMOF3LSLrN9NThRgcihJ30yH9qR70iN43Z1mU5z0
W+V+2uKx8KkUTQm1YpCkCSakFjrJGl+Sm8HKfWNfb9Drs7Z6/1Kz/v74xd2BTnkwqvNtJQNy6VW4
zyzI3cgE2hi6ObM5Au2KvuXG6Z6ux9OV67T8B2FwNmtaTwHsoTBMNulDcQcEzS2oSv1gp3xct3T9
NJb/3NfODDVIjmRo6yJ1iV1DvueVYbe8/99iKpSffnqhLhmB1DN44WD1LncUVzKZy9zWhHCPKVlQ
ILfCbQj2UTTpOfPUEryrBdYsvtfaiomeQQucimtftRKKlh3ZIwgxDHV+B0j3kzu6N3jp0+46N3DD
0JrBVD44p2aGYDB6bosHcdfdJtg+kIRzAeeKD/QW1KjGh7CWqlw/tyHn+HOyGjWWknBOjSNQtXVe
dJ9By8yWbyugyaiV+ZHVe9wl3pogw5rdRaQUDJAX6D1cAZXAcBf4IZDV1cqd7rJjE4loBqTaVHWJ
2zWkAvLNFTxBu2GyxX8bLsgULB044d/G7XXXvgzD+ba1xBpNKk+qZEZyPFePgku20GloGyv8GA+n
+NVbMXZxI50ZW4QKKRXGRIlgTLmZepNZ4V13PyC82uWv9FHeU9nkHoIW1KpXDF/04jPDi8tHEmSj
IM455mRDt8b0AwL6eSE0Q4h/WXJ66HYrQ72YkpwZnD/oLGS0fEwytf2zhN0xO6Bau5U9vqtW9sGa
mcU9oWBRXhpzUS/AG+j70JhAccrUFjKnctNwpUh0uS51NqjFpku7diLJhE2naL0DePebGLK7Qe/3
hOqOHkomemg+86LfRcW4j6TEajp5wxXJv76aa1602IMim6SxkzBoPh2mPLPGkkMI/em6kcv9OGeD
XSQFQdhnALBjBfkWryf3it097Q5oHN+NT/zAPypAsW19N36umL2YvBNZkxToNCrislRaxXqECEOB
gBEEl6G+r2VAdpPcE9pNNBxqJfKgCL3Tx9FUkhI89GHuIX/byUXycv1TLn+JPicmClQIl+0VHWj0
IXSNp6N8epQ7jwB/dN3AxVhKvg0s3EmslEQeUzkBicwDULDxG+G39DdIpK6bmbPHv6pTZ2YW7lKI
RqEbE8o12jN5RHFI2hYffLfGAnTZKb8Hs8xhaSNOUYDZGhggamqOH5sAlnV9LJfBw2eDWXgl0/Ux
MHLMGTn0ruJ299Wd+sLe3is7exF38au24gQra/RXQwJnVAwlTF41mf1kVyBrOYayn6wVZS8uElVE
QjURjHzq4mSgVS9GsYY9rYGJVkO5uTpmkHXK0gcagii7WYNAXM5azwwuToSCMzmvQmzvVk32Ulva
ypjvmgnF2niAmpuu79KM23IdAg1ubBpj8CJJ3bZG/EvKGeSI02aXJs1/6W+hEL43VGjYK8tCakyz
gHXzlpvaYKfL7EYy2LZi6qNQdPdxIlp1QSwlk1cC+2W+tzO7iy0SDoMsjwyB3aCtbNYyu9Pq0SpY
85CU5EUcRFRDRD8NgltCtNQiQuNpEnPqvvJ4RJ1ESrckql90OdxB8PMhLntminF2F4f55LYVnknp
BBG4AkT6NJdMJTaYmWv1yj3usg99z95ib4xoJy9Ijb3BtOiJB8wr5MyjQ3Qr1BwSFcptI6NKe31D
XgySskIhckuoAiGqn+f8lOijwkQJblR0rakKoTsO/wlPf2ZjESenbGhDpSY4iQxAtZLAV4tNkn1q
0Usbjk5i6CtB5kIoM+YnCkUjYHMly+uwHGG4rYQjKG4Uc1Ie1WGrG2uR7O+Jwx8WdaqK6Ev4W6ta
FvRBqEQYCYffHP2NKcLm9aWZp+Vn3P9pYTFt0FFRO6GEBTluN5rQm7SprQD1mpBEKzO2Zmqxf1gs
B11CYApEo9s0kd26haYSkGbDuJaX/L04P0e1OGdEtY8MsYDDcWUXSsBGx34VrkXjv6M+jIDKf+Z0
1wxjiSYvy452+tgh6quiWU+p204+nWqb089oDY67ZmuxTOqgNb3RwFaeQaGCczOJP6X6t9F3Fs/V
levshVITRqZSOrOQYnDKIi/XmFhGAYiKPX7HHg7tfnikT8nr6E0gH0osPNMZm84vT4OPO4iyctf6
Oz7NtlVtJuGQ4faLM06igzFNSTH34nRPeGjdtZPh0lQED9MQ/24N48BLtpJPXngf/Gl0cc41QRWV
mQCjnRMdh9Qsia24zJokFGuLQ/ooQQv4lL8ON+0xupVxG0KP8cqkX9zqSGaR0mozGe5izlmfp6oE
BVEvqJCvygc9mFa2+gXFFoxSp8acq2Jil2+6Mf5HJDyauxWrz/4NRL7iYGoORJqCl/oGtUyrOpRu
/Ut0ghd2ZKmDJ5vypFKvlVzUxKTVit6l2IN3XiieEU1Ulk2jwgT8WdoKsVd2mTdV5QG90yuPdhdm
VRJFXRQpHhxFjS5ijsRLvS8SPfbUlO/6nh11PMP+h3nFNpF1TcHMAtk9f8TZNTbNCTTUZBld51vB
e8z340vEAdytNtUBhGk3JbwHaoNAKYBAC03o8U58yz8J0MPcW8PSXrh9Qv7y7FvmyHj2LVNckEgd
1NjLvshgd454kBCcvNA3NiBcvG8+5JXL9YVk+6fFRWgiwF5lUY7Rp+g2trRfFdR2hkOJkvAt0Gvp
fQIGu894rSH0girUT7OLEK/KwhQwQmNvJ2/lk/IWboqN6hdQWATF6aY6KU/jR2WRh/w4ATu4UXzt
ZWisAlxywEmoreldP0cvlMfxPbomQkJPRRfhUnu64CCDDhsl9jqxZFZfFluSBRDSLbb43+eS0NTW
I/E0avRQRNwJE92Ow3iXtsZea6E2qCYoa2uU3VRFDj3lyROD1A2QpxnyGi/JhdMReEtRVlUDYqnK
8sWcqXHDiojEePoqd0NR73JoIkdtdH99SlbMLIF5HSkH8FzDMcZYesg5BTyjrpxYCv+/e0Qx89/D
WT7MQ6tVY3kMT+Bl5tcjANjtuJPTYcXR14azOCOgd4L7TY3htJ1kcv7M1XeS+9en7EJR8+dYFqeA
JNaGPlQwQs0hc+QJXb1hZ3VQfXzpN3zFZy+PCEmsrus4F5YJDCsMpDACjz09lCVzmgJzEoHryo10
JQqvGVqGCF2p0HQ7xp6AK3Gd3gkFN7m2dj+7kF/OMOJ/hrOI9bTWgriKpzkQ6XfslHyVhUkqs30Y
bVExS5vetMzU0chnCXfKzHVslppZ3OrvFNlMfbfGqnbx6Dn7nEWA6vKS07DA7CYEGA9SWVT4uu4t
a9O6uMpNktQrQiJhHyto8ZVu8QTjknJlWi8NA9c2lRBqEI0safB0VYtULB+MjAc64+D5SuJzobsN
BUSqE4nqEEaiy8xHF4YeWhSYqMoBpEvZ012FZuXdiNa2x3Rb2sEx3+ab4u365F3Khn6YXZzamtLH
sSrP63N8HVSrOBavpSMoJr1T7eFZOU6Q6y0f63vk2m7widJx6pOj4VMwC0Ur33Ihu//xKfNCnx3a
EqTI5q7X2GOAi8kduPWoaDIFuDUQwwIqdH3kF4PM+YQvtqPW1UMnMGwULTupmWAaLZD+IVSom5No
QMgm+T3p4GtKVuo2l9z13Oxif4ZTpacgRcIJCVKqjD+PxU7v1sqlq9602Ha53iVyIs7LKgOMi0ha
6ncp3YfBJyGHJvwsUJMO9Lu2Tkyx/VV2tzkuOWWzMsdrY11sTQWZYskbMfYUPd6VvWwRzveMhCtT
emlzEsh/6oqmyuCqnnuVzhynkGNChwyOYwDeBXikpfM1mYOLIzkzsbiP1WldUVGdY3dP7Qx157Z4
R+V9JQhcit3nAyE/ByLxCqWUHFbSULQCQuxxAldhuq1WT9i1KVucsI3aRHVgdPDCL9GhkIx8i2+E
I0CkX8Ld1JjDLl5tVPm7YwwB7mwKF5FmZHES8RaDa7L3vnwxJqgpRoo5VHctCHWZvIvCAyGn67v8
z8vDorLzw+q8sGe+0edqHkd0iEHm1znkMJjps9I4077ZplZplx+tB2Gn+DiBYES+BSd6bUlbkCA7
5WGNSYOszfli58daULRCiAno3fZBi8z8Vrinm/S37H92ozkdhU3QmaWlPAh2vg2s2ibHXXhT5Cub
ct76f8+IrhAIXQMiuDzKYqjAFK3a4p5GCmfU0CakaUNi1l0pmTiWXEXKbqKudlYWYt7rf5kFYZNo
4IpL4Qc/FyJT2jYOhAI3lRTyo3Rf7sN7qKTXXuGTG9nWjkVnqy+BC9Lipw7KIKE1oL/UB7+qlqPM
kG6am5XE7+J6nH3RYk9HKg1oF+KLajpYUpfYEl/JGi5ez4j8PdeLMKynJKYKAj14CQSvfRkcDY1Z
YCjwg61wbziJPx1bbzOGZvKg7gn45WtLexE8yU9+ZTdkJUxejmHfH7OIxn2alEMaYeHTypcNa1Jy
k+a/ry/zhbcS7HJF1wmqV3ibWV4Ah0aVkUJVSJQchZmdM2yqzXBK7pINkDIgFLLRpfXYWgO3rxu+
uJgqyhuwqenIfn+616RnjZ4zBDS5qrwCUPxi7ZS5VB6TyJmJxfxNatEYvYH5Iwd5A6ihMauxKL68
qfczyeIEaajOko7yjXKfOf4memg1S1upC15cw+9vWGL0Jq00opRjmNCKN3myaVuU6aIVt70g74xF
PLOyOIfSoksrQ8JI0XrqA8zqEm6qjnxQ9hqSw4P0ldx2drWPj8Cc/1ob4p8x/BUpzqwvQnZMIqms
0h7FG7zVZ3aiW+Jx2BaQFdSgC0eeExeI840OeVY7epWO6AhxhtKMsJd0CEJPb3uzvJNOoh3edu57
YgHVYAq3mr3mcBfPs7PPXOSPkLMnBJwzSK3s6YbtjV+1Ld1KN5mpHoK7YBv+ph/xZvqlcsd47x6R
xnIQD96k0ETnL/xdfgYLQ2rJN6kGDebMfw/B8gXd7AjlsOs742JarULLFs+EkooK48+dwbNAZYaO
HZk0gZ1PuzlBEsvSJFC4avSX68bmbfb32n0bW0yKqsRNFykwNin7XviQIdmMzL3tIgs8/2Y7ae51
e5e3/be9xZlq4N4HTtkal3dtuI1Y/qHkxUph5fJF4WwCF6Gl19FjxQOcEyVIW/XQD0JmaTUxu042
wRRsytoD45EdivfXx/YvAed7cIuAA6FzjocvDE7YQS7opvWzRwFiKOoJ3r/lB8UbckuGNHHrDS9T
bfaPYWyuNX2tTPCfyTnPn6p2yuoIXl6H6K9vPodqxWMuR7R/BvkHvXNmQDMkJmcZPEZR3prm3ZC3
Ibh7r8/kxbz6ewWX3Z9doI5DkmAQstxYWnXD4r0BPvUcT6L/m6FFWi3h0pWSBitmiKUTcTBFtrXV
QdAl71Ya/9ambV63s2kTei3UixKW5PFU0GMaPjRkJXCsLf1ibxUBCmN6iVkL4eR6yty+Se3r83VB
eWc+ab5Xf7G3BtbXTOxx0tR2cUTX/5Z7lYf9NZgghEd52FT9UXNBdAACKy9Y2WBrc7jcX2GWR9pU
wrh836XHCfXZdCXnuvSIeD7AP78/WycFj/4j4XBvVbVF7pDtGxiDvArY4emOboyNujfpK7uv3HaT
noyP69O7MsDlKyIphUzi0KjxsuCJJ7u41cyBrjjiipf8ufWcDZDmLGnInPCNbF9KYLpvspVb8doo
5t+fWZBZxqNWgwXSn0Q2mDmLXRI+/oep+r4MLAl1FaGmaDGAL+SEmY38EHDJIv1K9nb5PnBmZZFY
JVGeMDXJER9yExlkvod4CAHNZ22rzBI36M3eT3bqu76EK8GeP0AGTP7IRjPaR1D/BoX4W4N74+n6
0C+e2WcftQharTQmAaf4KGggHZhMnJSqbgaMn1lL1Cs15peDtLlu86LXnNmcf3+2pgDF1WwkGaa7
J7/x9r5tqv7uuomLbnNmYuE2DckIi+a5roLS1Bh+UG8vQVz7v5lZZjxi2AuA1SK9KkKTEdnqAGIo
et25bmZtkRaxKjJaKM7kMKPGgcOUVzJ6CcMK5VClZbIZguLnusHLac/3/C3bH5KpJ4RNsKjJTtZr
JlpUmoPiyNDBjlUzxv3uv2QCZwYXC9ZNBu0kvF14bdCa9QhvB1sRWw0nK66nLBYsCQctAp0BUlSo
lNaqycZ+bermysFfWfDZSBYnZ870Pq1bTB1LcrNPQIakKVbdEUvUmJ1ogtX3aCQIbvtq3xVrkOMV
v1cWRyoPRybOXBVou0PTOrtjQmdP+crRSeegcGWIyy6KrGQVayJYiR+EFmWNmffrnYOObqN+6L+o
U/itw56iyhwtupWAewCwyMPt6Hf5AMoXH9Jm2gO64CI7DfHPddf9Q0h07eMW0aUrwZoZMHzcTFZe
7HpXtqA16MysCL0T7ItTdjfcg5jF5OjhqS2b77RH7nEf/MKHHjC68C1y45O4igi5gKBAuvPtGOrC
xUEjPTLG8WHhBFnaHmot7IFpjZWk73Wzb3BvHJ+1KrE7Cb35zbjilyuev2wZ5Sq6IsrZ80n21EsP
RH29Pu8X02xdBajxT5l3yWCujxqLJAlBPYsh8SWCplEK3I7nJniaVoby08l1GQUmXVbRMKMRBXRF
y8d7GSxfRllih0HZODS6rTH0pt6vYVfnffrtR39ZWb7dN1UHjrshRWyvpd6KJNEdot4TM+NEaRWB
ZEZbeV2X0J69YnP+/dnJqKpVy2IdNqsUPFpS2oDeU8X1mTZPkTGCbh3cG1bCi1OjQ61+Kp/1GMxb
ql4zK8/Zu9qBii/hCjhjyC8jiDWry9ltMvRvYw4BuxpsJLSqfMohappVza+uRIcTUzMcj+jxtOWS
hH6Tgrms1jNQWeXhFyAEXtyP3Mta0CQWiCgBCD+EXWL003OeAVG7a1SisMOYSjzbVUotqw6byFfK
kVxbaAlHH1CVtMcpBhZOUzoBZCjc0aSafUV1XN3RSZ3yDWmC2pG6IXUbMGyZSjnzafai8cXx7qPb
Emn3vFdDs+iKfZEDJaiXrLB5p0BpukaIlakkuxwiwjadQI0VJtUuBEFNyLlkVhG9kcZ2zxKy7XiB
F8VEdGIe+6xMK0/ryYMBpovAmLaQ5Nl1NN+FY/iu69Wh018l8jhm/K2vx7txjPFooRa7NtKPpVhu
wzgHhWHVKz6j6XPYs96tSzCo69kmUQpiTv2wSUjtpKI2q29rm64qzLxXrDIYHoXAMNFaaWp6+cBE
ZVd1qmS2XLeHntmjknxqtLQqKqFoQ17Uju9jEdR+ZYyWOCUUjmWKM38SY0CmiWJX8uigQJmZhYGk
aqgmSxS6zSR3eOaTNrkGbtA8okdWioPN2IQ+IUHunLxJnJoFQIIa6M6KHUkhp4ilnQUd3lNIJ1tM
McA2bnYCLU/d0I6mHEPHhjQ+jwW0d5XSa5rFia234r2Inu+oRqknbSKscQI+dVl2VK3006TGvIML
mEPPgOpQxeg2Fesjk4nPFdxTV3U7kz+bkFpFyG/0LLk1klNKoMKs6n4UfxmonaHBzdXmllyjsdKo
NtMg3xihtAEhhT104ISJJW9KjAPVS2tUe7vmNQgd1E1QZAeJo7RO8cjC2KMKkr6my100se3Ap+c2
hfCqgVdpxGElyv3JaHsbBGWWDPqzoPwKm8hReLovdYAXs9atocCAvifUXqAM1UNaqxHsUj1EU+Ro
7DiCtajBQwrJRUel3BbK7Jek8g3U5q2E4bDR5vK7DuAVeKrEzsM7rZ2o7a6aoHA3Yp+Igad2g69G
hTvCQSOFOUZd/ErhnxWXNyUNNxw0OCZyZ5OV+dOIfF3FaZFNiafnyi7tJnQpYgE71Zr4IU0ZUHLU
xYmI9uxT2VXmYNDdpODPy4eq1u5Qa3WmQDeTVrbEWHQ4HmXatimtnMQ2pNnQVtF/ViA5qIOsMTum
f1EubrW8tJoYwjGF6GslMZHvOFNeuVPaOlBL2JZGYCYNh5azYQ9V4zQjf6O1Yabq8MpDzaYR6EIL
2RV5vcnkyEUU2qZp8MoFAjJLqHxMnSnqqtW1pYP+rUM8ig6Cotvgb+Q0PIZavhOm0QrE0U2j5pfY
CW/ipN2nTPDlJntu89qhpLcFqdx0pPJmhkgtU29VXbT6qbH7XrfKtHBzdOgNse5mdeblguFHYm5L
/T7JYrvWCzNJlfsGwUPIlF2eyBuCmCTR51bSXLmnFkIJKrZadQrBtCZqZIubzEGXn/seFMBJbIcS
KtiQDqxyjKjr/TbHa1aV+R1efPDnNJNP5Z7WrWHX3WSDRNPiTernCnxhesyTxhaz4aDwxASUx24x
XT3qyoVmBxGz5CqyCxVktFQ2I2zzqmNWgbZopVTcUSJWks2k+brLWGRPoWa1aWwpSnyAUtN9kw0u
bUc7DZhD+YnKgMvH7NAX2VvR6a6RK76UGS+DDiwpgQKEDJZWMTPR27cVg2Y/qcTM0MhWK6Mf5akt
CfJH1EpeX3celUaX9cZ9ladQce9NAnLqsCOO1gWuFBpblYGbVtA3eKrxWz3zSAmYuQEUegxaiBBd
3TGYpbPEyrLGHtvULUdixXFuVem+YZ2lpelTyh6CZrR5ItoldFmq3jhl2qeRBx8BPKWoRODfbgRS
38cNN4XovctwI1M1GY13z5lRu52m7uHtd0WR2Wk02Gnc3CS4COhlZYfh4FQREnXypWvM7Gk/E3zb
cR1YmVQ7STygzvvWQGdTFNimAaF9MmJ3gYl5EiaQ4WYWRdFKQgVLrnOEIfAANNqWJ9GW8YMGtL1R
f0VM2WfZTdLJlhFG9pA/Jcmvtuq3YhXYVVpYTZpYcUNNkj53iNtGEG4mpfQrFtgkL8106I9p/NVX
b73YeEUInWj9FVU0q5cbVzPywyRldojzIKpDL0xrq62fo+pFkTo7qLVtrrNNLIuWgLb1JPyt9Klb
daJZFKJppKojMW0vh1CWZKmNvmRXA/Vx2aWWnkxHMKBYsfARSLc6yH+SdnK7CPreYW3RwLDzojDb
HmEIr8kkBv05+WpoYLYUAGuoZo/DiB/o1UY4JKfgJIN/V8ziW3Rju0QZbRpAZg9PWjoDkiQ5VaVq
1hhUMJW5WVeCH6W9QyWkLmPklwK2ddZacmNsMlFws1GyKGjqkkz0Klx7hFI7Ic+2GLur9eZGK/BS
N6GjvUs7U8djO9SvXWbc8vLUaNDT4GVlYd9s0/EdiK0NzzM3k2srTpqnQeJ7baTbpJxsEPJbA1gn
SDHZUSM48Ri5QwkIba5bfdKZEEv1EihFK2rzG61MrsyHrcKDTcRR10RUIQlg92KxZ5X8mUm9wyKg
yTqnSQS7lnWnQabS9Tc5eMCKsgNiivoUE9+FBDxIoGogk5XRxy4Fnr7lVpBOphbTg9j3boFzuRAi
cwxPXSFt6l51hh5cQ4JqVkoH5exgBPvUrIiX2A2SqQy831Gd2XLVmqArQBtSY1NZcCQ+OVo2mDrE
A4CJsTP1rYJ8rVG/ZSkxAcI0C72yxbyySxpvgvIjDtgWJ74zZnDTEej9JHXjCA931RPNiauSyZkY
2L3kzOzU3K60FIcU1OAF3Uk5MdVcd0KBWZkBFcceW0Ga3Er43QyD19Z8i7aNXRAPflRAqFBpvTL9
iNs3GrxNVejlRu6ljW6qaJNr6talbNhGEr0ZZX4ADa7YHwtZ20A/1aqj1lQKaCe3k8kq9J5Lqj0p
IKhHNJaqyS8Uuk+GelNw6CoY8r7AAx6obaMcR1A7k2NgchLN4Sn5pYl7tULHJL2tCVoYqgi+A+aN
IfeltN12/VdHXqYkMrsEuPjqdy3dBKz2KYolaQEtE6rZDet9UQHmAJDnLuugIMzsWFbNMJftGMGI
x+Q+0idzJGjgJvUzr9iDKj/Jyp2KF8+2i524ek10DFU+SDW8uY2sAGi/au7aCaJNqMP3CMC/5F2t
RrMZIrCbqVY+xG9C+0pgKcJtgpSTJaspxkg+OIG+VsntkTRuIopmnEIgOkxddXoJBG41wvSbRnhG
VdCMGBBfLZsNowejeSmj1AqlL0UI7pGXqqHozmlV28SbPuh2Wj88sGx0ay3ZDRRZSPEcd9oO3RBA
SramjgM6Kh4nqT3o2df/sXceS5LkSJp+lZG6oweAUYxM98GIcxY0I/JiEtS4wTh7+v09u6rT08o7
bLfruiIlUhIZBA6uUP31UwDanLZWlr2OkkdabtcGmCBVsBgK30axA7cb6whQA/7cJgLohkTcNNiX
WdYdFWIsxtQ/FJxslYTbYVStQx2IdELvtFwxgfrmd3UU7tWqfvZMc6HV+UkN+jvFaFd909yRII9t
lEBCRYEcJWF9FNk5h5bVj44jSQ9p8o26Hevm0IYRfuIDyzEqdr3yOUT72i9cAzmKdQedogJ6Hwwe
2qAsSIpSrOWpOtfBMCuHN8UiTG9GJbIDr9kh7R4YKRdACjtmjSWL0enxrmmah858V6pjn3ILB1Tg
BMW7DE4KVGCVAcOA3dWKvkoVQB4jCXiGlpxKTTkRoVuZF64KLb0jLcC9vHRCnN9GZq5ZJBbqWK6L
IToi5OuYWMZUBfkDvmf4b2D1ZA+DpzpyO9hdGizTulmrabwmnK/CPobljZq8PMR9pp2IXq2KpnSI
gIsnFAuqjUfFkJsxzk4hkc8sj1yjC06SpqdepA8ZsPQoVnADXPWdV8UPlaC4MihZUh/vDN/YmKm+
aJtm2YbwzsAoyhk/nO/YvpXrXEPKQsaR6oeK4lYLMwV2wr7KFDeo6CrKpduE3o1IvZPwuufQg167
EdlxyLUtYcXJS9OXocyW1PNdlo9r1TMWg9e5QwjYSDiCqcVCz+7adN9Lvq5G7a5RBQq6E+G0HQS+
Ol2r6H6cl7Aj+kOpiV0cj7YkpT3UKAGGQ/FJyzI7kZ3b0cgtSeLWpupyxXPiAtUN09rJmXYrAx+P
g6ByOl9bhHkJ0x0EYNRQavFMt+uMI4Bc6u6A3AxPgMsz4DtZ+a0q+BMeos9RKQ649bYkIwvZZivB
4tjqQqFaMf6FBgXkYrW65Y3ilj1beoOPETeQeBzeNGN/Y8awjc0clqj4VnQMhMeqWqc90rnq3Hit
vdSETzeKcI/DbMnGYNf7/s7sq1s1Q9KIXz54BX7Ji9OFWniaFVKOixzMPEv22jEc9LtxMO8HrVtr
eDagoKzb4CUGV8IRSfTHgLENcNJniWuCO79ObBjNq95Pn1S1XatquFFy/dHPU7vRMBVjtWxjnAhU
LLhevIwjDiLSNttBkXuN4TFgaNDi8vRG4G2T4miheFXYdYsqWalyR0f9rY+iAaWVAoxUtUgAd3V4
DwvXEC+aARNWFk5HSrdU6E7xPdTJGY5JRdeoXQPLIOFrI4Ud3fRBYelt/w4BaeMgYAyJRoujtLjN
fc+tpIF6mdEiVHubMpQtMIE6GLpikzIfh4a3HUj2LfXbJc1L3JRR5pohQB4RXmxGvjA6LNKxCxdt
kS4ky9wu8B0hQGQaikOfGZahZg8RgaEpFN2RDastP0LBURmsy0E9jhG9lZ1nF5GHy0w9xjVu4zQ2
D9XY3Eu/zGHz6CfG4ts+Po+v4vqwZEqtsXlPgabvFiqH8yJUvcMo9du8FHgJxjnmrLIZ1FicF24e
pfhE4Saqsn2S18s+Gxw/iU5mUC4KHuwIEqWtOlF3fYqaQj2rkASSLVDb1x1jcqA1DDVkGeO6C0A8
K6p8GckB10iu4C97vcVGssSHzPEsaTaFLNe+AZ2u3sj3tBWbrBZIw/NH7K7Y2xTm2amAgqxOWDcb
5P5+C3AXadkgFyVcNkqrIXyvtZkt0mJpjnKT575pJ5kCf3vObvykeAxHf80IVqfhO2NcvgYNXaBm
BZ7NZbdtU2+nwz4YIUZWDVQDDui3Lqnew4Te5kyiumEy3vSJfiCZ3GU6nnoBt4UJNW4Hom6jrwCo
vI8TAn4wGGhF7SaCnrweyW3FsK168lEjE7aiw1o2wz0R4NR23n3O6HcphwcUA3eisV0EEt4J2q1S
DcBuY7S7THejGAn1HjL3g+bVw3uriOmSxdpbDrPPFASv9uQubs3bWjW3ItZuTRk3dowYucGrPay0
tadlM3GZiZj8dzeoAcqUgGMDReomXuui7uKAnn39cAzBZ42MARtZJLklDsssdWsUAakMK3l88BfS
/eFR/u+3/n+gMT/909da/eN/8fWbzIcy9IN68uU/7mWK//73/Dv/+plff+Mfyw95eEk/qukP/fI7
+Lu/t+u81C+/fOFmdVgPN81HOdx+VE1S//j7+ITnn/y//eZ/ffz4K/dD/vH3317eke2HRwBcom81
/+33763f//4bEjEVpLfCd/7fl638/hPnbvz9t9VL+f7xcf23Pl6q+u+/EZP9TdMV1dA1+FZ/+6/u
45//yv9GNaTOmhpVVGaIs188k2Ud/P03bvxNR64btLeKoqKwnkB0oAJo4J/fUhQowwRSzpnQOSBS
f3y0X6bo55T9V9akJxlmdYUOTUJDGhIvKddUbE44ZrmYJrSOlT+afmeqSzNhaxaXPsxZOQismjYM
ik3bjX13pyg5TvSW+wFcTbqvjcpOw6lfQGAUy9TVvCxI9nk/6Po/Iwf/f0mddZT/fknhii2b6s9L
6vxbfywp/jemCxAWdNApNEWcUZI/15VhQFj7I0MZ+tpzYOuPdSWw5Limo2wEICSmOEd9/lhX5t90
rE9FILVZYVh4+v/LuroWXdIMpmJlnWM+P5T+F4ERhDuqTDNjxG2res0rsY/SGuktFB5purgYmt+X
9C9L+NcgjKYK5GFBLWmgJRV9mi5hGPFEL7IIum2JkEfFbR49luq7idSn8ZiLmwxOPZbcmQiGz7R8
LUZ30fI0lyXwIZMPWQgxRgeIZ3tD212BJyJHwINWueV392X3YPojuNVH1u4L89ZX5lK55z7DJAQl
GQ2Rk47P0Cj6bTvkt9LjMxLjXyNrfxrgH9DYi8ksYbYXOfEhvTJGZ+w+Y463Kj+QgVpKevv1mGIB
XkTx/tzW+by6aCunIwzcIkDiSTjcxlW78fP+JQvNGXHP9VHD5lFVbALsh1+baQy16w3YFytPN09K
2izLjM+FB6+vy59tnLt60RWNgSVJzq890NNsElIolcASL+9T85GLATlrowW5L4qMPlJtJrg7173z
9rxoOq1ISYKKhFDaFk9eU4LHnX58PVFXSO3nbfezexPdRK8oss0NDKFQ/GOQxTslRY1SzwwcoD8e
CKGvTQm3dgOHRgDSkg4Wxsz+u7YudQj28BkYU7k6WSt1LvM67wFOywbzoyOmRct4r3BssUGD3yVS
Z0b12qFmcK4rZ2ACx93966gWWkGIqtXhytAqhBvSAU4lgmdysIpD/fXr4b3Wt8u2JjPYZZVaNkYD
91yaHETbbRLVWMceUk7CfN0P5owwcK65yWTKqPASg6BrgejulQAABiU04efoDAdO/dWo+O7X/Zsb
y4nwpfUQpaEe+lfln/AGIAQWOqF85/mcwuaqNOpiJHXcoZd7IaAeV9SuDVd9tR/NT559Jqg3labD
Ms8CSy2JTXWkVWV/bQKn4DPSJQA46RhRpf9sKnjvuxslQeA2fva5YX09mOeF91P68M9D87KL/Ncu
EjJ2qEOILmr0W3tOXvCOLZ6ff62RyZEZFr6K0xkzpue4ZtvUzulLlc/VapvrynTdF0VOqxatJPqa
jIhC+2sDqfBfd+Xq2XU5YJPlDlZpGfU6WlFKc+WNclEn2a2HNz4V4wIi9xUgSm7Na7s1MketjJks
hZnFPxXE0HQUQjt3UjERNDPIbcIKOGPkh8aKuSqwUwv/h3l00depLoYFqDfAGixEeN72pSxeeQac
AMVrtBD7sjK+D334XRdILm7a8D4f5a1PSogt5ihuc4M+hV7Esc9IEaLXKrmL4YSO46esfzbZpkvh
yzcqVMPVVyQAjaoIZtbuNUHm5RhMN0g64jwnaJqHH0X1pkBg6jf3pfatLT5xYcy0NnOYTktVNEEy
VIHXhasm/jSgxCzZS9nlDrQJHmqafb2UZ/bLtPa0YY59pZVoK4BXrqPxEhflEU/B2ST18xB9ccb8
kEJdmBSGVpp5HGAZZf7W9EsHJZVthLatmN+ZBFHH+jvTnwTbDkANw0/5dS9n5s+czF9rRKz0wZJf
ecAYB6iXWelkHRv7HE7Mtlfg6ZvBf1xNBbhYMdOiDp5OAhxFaFGm2k1fELsX8ApnLaLYiHH1g1uY
6imX0Y1UGSQnqYNaF45R5h8Z884qrtRSaWLTEeWwvOiotupeNarfPS6/OFwunz5XFxpebEgOVpFF
qU2OsQCl3EDIwrIe6vSJ1UhmNMydavqQTnvjRqHjx9fTcLW9nwbQ1GpG1IiUtcQ9E2UoXgslCVfy
JeKTe0OqK7gvZyzos0z6z0sOL1lY6SZV6eTGQS2ejCnF+cAw272oUbq9HDdDhzB1D6/uKFA9pe/a
dR5XM0606+fzz4Yn49o3iaJ1JSbflO9yoMsu2XV9bPn07evxvL55hQb/DmeQFSu/3tuD2vKQG1W4
Isqjph0V1HEaPr9u4vrO+dnEZAyFrCSrzzun4/dMT5fK6EENc2hilOBUaogF1l+3N9el8/cvjolI
bfRaQZxzRZH8ECOSn6MycjEHmZxrZWIlUBMAM0WiFQHdjVHUtqwCN4jqmWPnqgQYAJl/TdBkIeQh
EvoSVCMAE2OwQhTtpQ9kPOVwpFNyImDzpO02VpA1pu0GgOO/Hsprj7jLxicmcgO+HskSdFIb6UYz
mmNUyJln8L+5k3928LwFL6arSXhqJB46KMWJ6R8iJfaQnAK51fmWmAeSgrafLrO51LuZ+Zva5K1Z
pb3fYOEbdXGWm0JqhmDzzHPt31j+/+rc1AT3Cy78XEUrrOl1C4nwxwASTzOGCs43dkEPhJmf4HHj
ZVucozNGwPUz5GfjkyvLQDJZ08AJveLErYJ6yXvheN13rZwjHs81NDlEtERRIsU/2zZcLknxLRX7
VIlQTNz9ejlePfwVHcQjKLg1dVq8QIHaOIpajKaQ3jbsUGCYQv1leK++l90PpFv8pebEZPx4XLBR
+XEBy9FmUFXqUYkIIJTdNF+TLv5PTPKLq3Sy2XqCtD/vfOQPZr0IKm+NVKGtaLQt/PO3/0nPft7a
kz2XSHhgKwNNoSQyZHVHrp1acKr7DhLD6ttfamu60UIuc90/H8cccbb8RfivXf0cydpqypmWrl40
PwdwutngMWnzgP8YQGhUwUmHOoqD9VqCsxCrqPcaVzdf9+3q+XjR4mSFtHJsxgL1qlZRACWf7jma
N3cEX388qUAmAwQNc1CdXJ+DwWOjKnA+tvzWN8HgkOtYfjY1EsqNbRh8ltmpGZcxBLTMaK2xnzFE
rnbxovnJbdqoRO0i/Xw8N+LG5/yEkggzzt0fyZJ/srIu2pjcpcwIfcSG0Mag+3YSLwx9mSFCzfTN
EO6lshbtUcaxLYdHRS5R23ZUXw0P1Uudqt2P+rpiSzzVk6xA+sNSNk9Bc6DGggfweyzG7nGoNp1e
WdG4GmATax7UJIuEM0vXQ4TGEUNeBdDbiuHemE07uX65XfRscnsXZYdrG4lPK100ThiRbWm+mWTd
la+0Na0UhZRS6EKT4VZHzvLXa/PqoXzR9OQ4qb0KImpewI3Bd013WySg80I/1M96Za5uu4uGJoeJ
rnmDx7wcCzRtURbxQ0ddMdS5958blNkq5cPX3bp6B/xsbVpWmUYj/AICI0rluO859NBgD2nYeuPY
2L03zpkn57vri7U5LaxMy6ZvDeCvViyjELzHS8lNR+3kuh+BVVA1C8qxdUraNy8vjwklW9XvF0bV
PH3d7avmykW3J1dsUgw9Emwwmz1CLHoCieZB/gdFQQF5umhkctTA9RObOajOK43Xgd2TeteeUwTw
tOzkcPd1h64btheNTTa9VmmDqBEPXzXB01hte/jMs6GxdAEppV9YRrKvdQr56SKuic2govq6/esD
eo5AcuC6tSk/Mcq0KhcUzdNRWg35qLqtwudwI4hYXls9P1uZjGjck67Xkd+C8oHxwUe9Nag89sR6
vX3bcesZ8m5b2sTyrd2AKkzouMUsfyPsEHXfNTvb0BUSBhDSgB9crP5a/yfnui8QSPAN9N8g0a3G
jV1nAEqjsMevm7k6ADqFb4ABHkanOYRVCZEQrJpwVZrvRvXidfchNN20/vi6meu35EU7k4N29Nsm
KAccQn2NLKYXWVNrNJe4HmVX2iMpLC5APDFMCHU8N8VDKaBzbs6rN+XFR5gcuK3wWkC7MdfpkEK5
9V1XHr7u5NWj76KB6UE7kEHoIbanSsMFi44df+T+u/R7u6o7++u2rm6Pn21NXbY50ONxHKOtws/s
oByf89SHqH2uOPhcM5PQMcjAjPQ1mhGlt2169cgMb2HE44wv7SqhCoKEP5bhtELwkFQe6SsswyD2
kXxAnJaJRQ4peasN66COT0nbL9XWsyE6cxOoDD3418wOL/qKOQMwq4C/AKpfDDZX+4UG+fPXwz2z
TaYw9LIQVeajfgAewZWd0gcBBX6ko+h2O8fYPC+SP91nFyNxnpGL53Zv1k0aNRgJlIFzZLXw8g2E
f2GdIcFcdUJoH6HCnTHw5nbntPpvH4waUI5odGzvOnC51FtFiZE1h0quIWy690rP3aGFyEfAmbvz
+xmqyszGMSaHQzc2SdDFeBj0VDqGgaQU7aklq2Rcm9T4azM59Ya3vt8UXKKrBXT9yYjE5vE2p719
zrf6es1ctbt+zuTUHQ7VeqiYJVqq0vBAynN6DBtXtdDWUNwtSiSZQNr1/nWb10cSHEgBbh7C3RMz
xBtRqYYA8LSS8V2TLAO+iPMUCslX0BFnLujrC/VnU+fj9mKh1kgP8jIzC4F3uK+Kx4w9E/N7AqgJ
K+616jE3P7/u2lx75y160d7ol0lDoN9ZJenRR+WOATkKKB5DqrtIInO3vmXe49ctXp/Anz2cLEuj
BGBRtjj8kiK11eBDZdWCehDFgmGBTCqvn4thzHTxxzvsootFP/KhatBgRsMlUnzXPTKBkaS8Hdlw
j8wlvL0yGynoczb09dPtXx1VJ89kHdkJSOHF0IIZ6gZKs5BIwR8pd+uofVMS6LC95OjF0N1q4ByE
I1KTJIoxmJHYDKr2lJTGKtPIfzQakKkaBkX4AgK2Xye8UVUYmHoSrvz6bcxQR6pHRsg+iF9VWIRM
mpumm1liV8fhZ4tnLd0vSyxs4XAMsaTLrrRoglfrCJsX6eXa8uuVNdfQ5FplSd9pfocBbz2kIYTI
FSMIzSnVwozTGRfI1UoWqN/xxzBOJTCsVow66FJYJXFpKd2N2W/LCCnVsQa8zV3uH/rhiWWQAKmu
6h+abFfrc/Vtr1oRFx/hPBwX6xr7pVYNBTM5dJU7BB+NEri5OvdiOB84f7o5L1qZbFfeiErXQrRC
fKTBMLIfQjZzUc11ZGJCqipiflGOBcLa7FY0wbc003YsnKu2OdeTycpP1TbJZYFmwHnYZmO+j9U5
w+7q2fZzsLTJUheUNcj5xmClDc5QKawceF4l3RCJ54581s2ZZTjX3uSICUTSj1mGVYhMnUcZQUIs
JHuSCOMbYbJUcBmqWTyjWLru3bno5OSK4l6F+nUaGq1MAOiitYgRyn+A3DQn4Dm8m8qLV7+Y3P16
c19/OV80OzHhUGnCx2sZu9swV2l1CNhb17ZW1Ox8GS/0/F7AmMv8J61cBZSuZho/Hx1f7IIpyAeU
eFq0FGunJRsZPZrjKRweqETOOWSnCUmcUFl3zZ02FxC9ann87LQ+GWvUrCdJN2JBSV/gcBkWuarb
rc4RUAEB0ORzczuzR6bonZzXia+qGGSUhIUsBNLJuLeKqHrOot72eQ78AvKSpen4ub4we9ReABPD
IKZdd/J2ZszPVtVXYz4537IKfjxRxVhn5Tu08KZ60Px9MqLyzfBdMT5GHaJOb5uom6iBB9iYO/iu
R7Euxn5y8pUIHfdag3Wel/soWkfdIY/BJYmeSgnZXPp6Tn1nc2jouQmYnIXIwxRxJ9CoFN8YO/TG
HCfwhyr7q2GdHIOjJEj07jCsMnHi4SbMP0P/rga+o7PU+K7t7KA6md4mYYs4Xg/BwmtVdHOdKfd4
KGbVMq7Wdbxs9QVVjw0cPD3wE8s8cgbvIe4+ZtbA1X1nMqoKyhGrnyp6JIqbFijxhg/bcrsvikem
fC8KsioGw46Sd1P37Njg50Q1FHCcC/BdnYuLxiebz6+oXmspNl8E52YW1HbP5rwnVw/wiyYmh1qv
E60CMxZrrI93fchdKGutEbUOPS6PmgcjOZT/iZV00eRkW3WmBGWiwZB2cbo0VBzcTylKC0igEL6e
vPNnnyw0XUWmDJjKFM7G6dzBMNZ8CTXCyoy/wQS0+mLLqpkD6xr9F9UsgDKHp01DdsXkaRbmZEjr
0MfBvJAv7CnYNRuQdI5ioQE3jizl7+pdvhqX42dxVxzNRfkwzGhlsAav2J0GjBTkEZ1V2eyHH+DC
EAsjDb5yIn2kucGrszKgzNKylrq8Ia0j265bJAl/CjvjEEjkyRYoLNaVSPwrapTTC4zyVWSkWJt6
gmxesdMTcZfSCigDX9T4QfWNx/F7MKqxDVnyYyThFI79+lzBlljg6JJtI/xbeGv8BeSNHnLsk8zS
+x4I0GwAxUyG72BZAYzja6lrlnmy5AhuWZEX3oLAcjSR1z+SxrAY9YfvORKVN1kTLtXG95HOB4JQ
q9b8lCIX12ID0v5Qwc0CDElZ8twju15lN10eAjyAxEKjliD3k/jkJykKg0Y6kiZ1nNegCD8WadM7
RFF3TSxrB/Kbo1qDrZVAv8GhBi6RxOEV5db3deAbvDs/livFM0/wMSOSM6AXVWlrhniGvv6p87xF
ahQn2UaGlfdyD9EoKAepGxb6g1knrm4m6zyIVUf3mgVlAfAk8BHoKoyy0Yxf9do4KkLctUV3NPsE
PC3zsTgXK0pDVOKT6mcbGhQQzP4hylLdYq227ONgDcyZG+rBM3ILnJAZL0nET6gjsEJS+zIBGaXP
qrsGLh2GcEgxmJskjBbSJ6emRXoMEDvDSgEkjAEWlmkhQEeiKgDwAkmsLVHEpB4j0MYpMltJW36m
eBaqSbsZzMxVh8EdTblGfvFBFgWgG3QZMOp4/hsNUWKoaE5G/a4pdN1BQ5px0K0AnYKn25LU25Rh
ZuttsW7CYcl4areyRrKrjsIpxPWMfsm5PbaDZQbKHdfkNxM2Ix88ZLeGtmAGsTSdbCuz3CgMeIbO
c2VZOEKVdok86m4EXTs8MdCAIokMfs3RCsPWu8EOjfZWy1QbN6grqmhnQPbEkLIv2hgfTy/2Jkht
XC2ewSzYqmG4Fn3nsORb1HuLrvRLIAFkAKHUI4HeOaPUVrLCTeVn4p9ZHMivxdil+l4SD5HM2kKW
9Iph4j29cURQvhOgzsKcKeBznCM631OEVqvbuNOsNkQN2VF1YwOwfq10oWGCvMyEo564ShXZnhK+
0bq2q0LYDUC90D9a1eAEWAcx0JR50DpCgnxATWtoTLfptz0gLnl/HJrSAjpwTbFP6/O65KhPFbab
CBnerbpM0I7klSNT4nSRYqmF4RgecLVq4RIo1JE0b2qtRVHrpc6PqfdQhsxiKEcv+rfYVO0hX6eK
Ynk0cbn2UpjEIn67UAYMebZDQq+TFR8MSRjmsGHZN6TIx/q+FXIVyciutde2W3fALUUB4uXhlnId
IInCGaoeWe6Ixmaxo/KXhO6xzSxSPqLGjhsPuuUN0lG9t16Hdo3is/ClAEzE70Z8p7ErI7cjhaxi
HTnbxU1/3kUvY/Bu+PeN8sm7JxUbmu3U8E6CVQdIlGbsAeSoxhJ/4rmWoR1ATiiHD4/6TlQId6gG
GJPEUesV4sd2IR4alti6d0+8xGp9gLH8dNfHIdlDD5pQ7V2MAD9wlVZ7PXdSX4glSCjYiKhI2g79
A7jOpxE5yNukA+NIwp3dHpnawePLPPNQ53C/4NcSZuf5IQGAJ6lekQFq+2RcmgIk70wYGsbrEZnz
6L0Pf3gF7rHHXuO0dNLo3qzheOytuFBXRfeM6pZ2399TLM8kflRqbVMCmsoHgEzTcttpiybF+VOe
6TjQMwAgJiIVC/Qty98o4v4iPnmVb/OWwA7TEREksDUfQngC260StY6BK5TSd0gvAPtAenqE7BTV
TVppKclDzYhdpScleG+hDC0jN0k2tH3zW9NpYsx5u9eil0Y/CnKq4XnKyLDxxGfE203dlk7pa5ah
Jw5gc3bXRDZYeyBtFCiODrfccN9I7hbxq9EpVsUMwGZzK6/OQA/QjDKo1/H/XkKShKHQgoOkxwG3
UMydRlM0V6+DBWeHDBpB7imtPZQA6gR2gNcax1xRbW0C8WWKBXBZ0Hl43+oR8ZDh1I3A//kWbWKA
CXsrL8HNSV5jY+unbgVdg7ksdJBDvHVdAexrOGr/rOHKgtrFyt6D4EjHPSNH0Z1JY/V548durQ0W
dmXno6DPpqzWrbDxqgkCJ8fDBhyVwFjx0dFS2xzXdbgEopCpq4q5HUBBdN/ER2Su6z5oLOsyWzft
tvP2lfmYhu+ldHCtEu00+A9hjAehsBPQ4DultGS4Zt1+SPYd9cHFBLIxeAmCbddiQaN+Uod6mt+o
dyIe2D6aHXnLbnCr4rkiCk7vAy2f+mxVgQmUup76jeBzwZ4pTyF/FNmr8E1HD3M3e2OaazCUgFyq
/r4PTx74fDjhi/ug+EwLUIzaR8B/LJGlVlifBiCYe92N22fKtzmYbDlBkhMkvSAlV6YNGmkG0yCT
jteuGaCZ2Kb6d2CV1GEBqqQYXGxaFJzUR5fqNphq6fdqhKmwaKPPpICWFqSh0Ra5JQ0bxdQCw2XR
FrlUIbp8RoPEYHntfOi5uaVlCPVgte8Tc0drcJE2dbQU/U2EVQQOFXgQQeHhyF7nOayBQ6bfKBpw
Yd9irVwy8Gm1LdArEQYi/Ewb4HVsNYR+xrvNBBAb1aoBeBBcOmtIH8PupqQ7Yi5CtvAF+AEOJGAp
gFBGe9M2OAwXPjhAWhS63bDrPnl+q2fugHOOYrAQ/+pxCJwvJHnrfZfefah9RBmenkcUFLVUhgMC
LE0zdBoVlyNdtn7vVB0sB4xCKCILJ8xY7VRagCwBap1+5GxpwhRQ7HpY1sW2i1xT2YDow1UHoHEb
912mLLAb+jumLml5gPO4Ai5HGi6eBZV/W+XAomO1YpOMQ2TL9gGcHsmeE3KbDyel2lMg05X40KFi
c2Hn5eAAGVQq29Zf1aONYaDeOjUXqKsJwaLho4vipCAYzmJLaY9htoEAQdFdRKvKxAH1NMofAg4i
l9WhZFC2Bc1HB+INYEJtWYK8kz625NSaC9Y5Bq7q4sD6VYlVm4CZFL1h7YbVVoaFo6BaF4h4Pb/T
VQBFt9zbEjzklOipooHtGY9j+Y6atwix1PF9p91XoN+Rde+vJZ6n7DEQa158ap5j9k8ImBX1URmX
Ut9luUOgcUq6wOrO3JngvGOyV998yVuHk83ogznnEubq3tLs7sDBwE7pybHIPnVg6YDyCsNHI1ur
xruSQWrSW2a0ZuJDohhA3jslvUn5WXtsafFa5wC+bIJHQba+4aaqXehL1EZrcHCXrh47aUvtWF8U
8Z2aQhd337X7xGscln+DVK0CqjbaNuZBRAvA8AZAeciLBnRc3ShWpN1r0QH6vVDfkvZGjos8X4rO
QcFLRCc2iK5ZBd/r6gKnZs4WI9+b5jo33Dbc67hkyaemfE/ZU2Tc15gVIJNw8ogGpSFvdQPQ02Nb
LPP2JQbfBwTqdauvermDAWKCFSc/JDaOYR6SGEeGDRxuqNsiO9FhqyoPfr8Bb1KtMXy4iyBAsxH8
aoM1yayhXmCOQ+NoKk8x2xoUio120/FNFd/kYt8PyyReyxbLac+LXVKt/R4HSuLScll5Lu8WmfFE
oUQe1HUloSUCp2lDcVdHFARHWLYuDFiSOg0/yfQp1Z+IvwUwqFRXmbkC+qvsNyOgYMmN1i9S/4YZ
e9SA1/RN2oP2+jAQd+w2mXyhAI9gtDHPpHa4tq2VCOChJTJZPGDHwK56T/BMiJErDJp66hqt6xf3
ibKoFRsEJhAKu+yuyDdGf5eoB9BKALcrYlBV3RAMVPWgejdVtlK7RwUCJdCyo6emPcFm5N3WKO86
/63gjz459gkCTjc+O9XNYiDAH1bb5I2B1PJ/2DuvHcetLdp+ERubmXyVRFI5VO56ISo1c878+jvo
Pn3tYx9fXL8bMAwDbXVJJe690lxj9mDNIBbxm53YU9pU7Z05eHz2blplCK7g9NiObHm1dkWEa47H
SGxp6lK896w0x2d5eFXkH4ARmZzjBHUXQIrInFE64hatxXeDelR1fOo3UXobwaiSDBAFep5IjKfv
RHLqZ9C165p0t9jHpZuErlRRhBJ9N0a7HVNu022sJKvFELDfhvYpz515dNL4EFrXUtvUzWuUkkPv
K3Eaa8ioDtVMPW11MkSlfW2MbamcymXp0+vCfZWShfnnUTpP4T4H44k1T+bkAVm6k4NSLvdld4QL
R7zJP6rBVZJbOlzGGmJNvavNS5oWq0a/kUH0sZdm65Z0ajrr1jVjF0pocGtX/njkIQnjjTx+r1Ii
8zZuSY+hi22M5KTFl45sIfloikPNyC1MruYXd0NkofUEVr0mnYdpO2svVf2W+EBd2RSPvcoGQk+6
bq5hjlXzNo03vgDLQwZDDW3e5ekVMCkUI7bBInNbG54kb4r2rARH1XrhFwdIrH5QpUM//YA/nBiX
Tt0lytmvt9yvsvRphI5JCZaAj7lUVDKPg/KYJKdq+LI1px09VAMJAqlsNzJIm9mPJLM8JDM332r0
uWbRd+5CZQveqMU60EIcvo0GtonHcIWnHPv8xkhafzFipOpgoYdgBU9rKk6Ftmr7O62hW3GOq938
uHQJEKYRbfxNBHcxfywFiFuP3JRlZD/+MIpdXXjR8JnMGED7B3M6GPWrRdoO2DR2BwjA3V1cOXlI
VuCwqD01HgYMiblN7J2RuHStM+tRMp9r/ZPwK9uXeDiBvRLQL+EiVa/1Rzg+oTeUwDORNEEPnV6b
6p4s1Dcx7N6OGRHgPISfqfAkShz1UitOqLlGr1P2AmLcsZlWYY8Y76T+KZ6PkFHNCvaTSTrpJPXN
njAw8Yr0YCtAx/aDTBOC1HbtW2sbllKxXAqNQnW1mX2ktRtlcuHHoaYdR7HSs7MpPZmPPbCogEbk
KSiOvX3TWgh0rq3di568/Vmno1JwHQ6tI0cMK7aldlGJKhno66vWfk/rbddtRL1StB0gNfQ5xcyA
emNmni95g32xuh2QPIaL1N/4ZvXkb2bgiu4lThS+7ss0X+zy1Kguhz1RYIVuq9iL1cco29vCxUWW
KWudHlgaHK+ttlqW6KioorU2HjNjE4+eTtqtJFeR0NrdMiSFXqjJK790hfWej7eq9UTu2voFQi9p
T9Y48GkzIilJmnUoS4fGP+b1TX+WKqqYx6A9QRgEjro3Y681MSKfFirsKtEcnblU6HsUyCEQQe2H
Gh+0+UcbfGrzMZlPNvrA+DHlYYIKyoU45eRR7lifOmUr+SdAqNUAzNeLxYakjBtHyR3FuMbalzx9
RMORNYWaSp9WmnpoOJy2uyBrh/2YOEG/xs4NbGoYfA21C1ewXjoa1yjZ99Z2zre92JD1A2u0bAdZ
0Nh/5poGgPCgB8Tphzk60hlvF6wtzlte33u5hef5uX/1h8Ocb6SRrMOFHVo0OEU6NgiU7kbIN6Jj
oG4S6RgXa6RWueFS7tSU1uNNs3btsKQyRhStqvSZ2sa2z4mxDsDJ9/K+6NeDtsOuzKBRkmwzExBm
BIKu2ijp3orsVTE7sUzBtQOAplYe+vhQd3n6pldfrBVKhfhYRacp2IK4LGCv80w6UXIdkq0aPnXj
rgnwZ1MPweQ1htsNnHuKCsSW0ZIhddYmITypbLRubRba0+BsBHsl2LSRa0JGG6qN+TQme8O/Gw2v
nU+F5a9S9aaSVrxo/TYweY4OgXarkwvL/bY4TTE1yolN8rpymuy5AH+bl57fAMoHEYq2RXNrSrbC
lcFVALj3V2p8zstDmkMKy6H1342lS34ug6rDJK/ut1l60eP3jKaaGV71cT/kZ1u72sqBXCMjikJt
Dk46e4qy16FnS8K3hL1yIkYJ3hysIyRoGqvTAG/+zAMZkhpoR7NzFbahB/WW2cdJBQ+okuOwOLTO
uHtDZ6qdOHI77cuQ1rr/JYmtGdyr3Tvszhw/S9kFo9AAm60/qRZUwyun+2R8KCpSvQeSD9piZnbP
7TEGp17dBpk7vlNrKZfWXwXYQXVfoEk3QeKZYtMaxKydiI6d7UlSuaRaVr6LlE1WcIC5ErySZpHs
qPG+AmffXRgRUNMUibXqJ3C2a6rZwXC14lxTIJvM7Li86Ek24j0plwRTAAqUPgPVTXInDT9K4oNJ
cIfcmSHyOynlp1Y4ffyUh+9R4ky0FaDc5i+ZuZfVgxx7hAH9acp3lrUCyg0Ft2X4FqJkhj0/S09W
AGPXfzabj4rgpFobshvaOEn2YAUe9Y/B1zCS1W9l4z3nrps2vbFW5yuYWx2rl/SoSsfU3wz1Y5vc
GK/m8Wa4j6OHmNpf39r2SY4+J+PBbPnRP/rcraO79itonR5hY5G+CPtWQw+OHb8425bDo1E0W4ti
hntkvK8SVyncrHL9YR+kH0FG3c2YM1M3VbLPxCpNz0OxEaDltGeV35D+YxZuoT7q2ndYwbVcrCMq
wlI5zy9pQLdw30UHpbzR/BfiRElltceRGRkbsrQl2V0chcdPDaUXDmnWVCwsunlMmlvSPtyZ/Zcv
syDhDJwFCKLk/zzskIK1mOL20olq0w47Nf+Y/AfaMz7Fib6RTDaWtmbo9JaXVc7ofwaNE/lEkavV
bbrhgelkKz3H4fe8utAfmQPFUxsvlqDkfWb2Wgv2pH+RfLG5waXeM3JctARRnFYNrby7sXCSxSoE
B0dC+K1jWW/uvFZ15OTYRedsPqgABb/MdFMp7kyp00Ap2TUjhdNNb52BrKFeG6lHCLDyIze2Zd7y
6G0aj0GyLdttRrPguYHbWziFTCJ2HPNzrezr+Q4WJI3G5tPv+QBO7q/Ed8PEI9Opi714iof1QAZv
vjKEJWXCSEJeceOg6zLlRa9WBM5QeeG8VpKLCUDTcHy4vPCpWZlfyMNgD1axssnbC9TL1HilrJla
qNPeYPAMkvZhIE4gce3mXX/X6NaZDHlPlv6p6EdxrdAs4YIk6DzTqnSs/LExPoN20zWoVjZ2/CUb
N5kOmkVFcKqqUzk8ZCW2Dee4JuWkq+fZ2aeon2FI25lD3ZrOTEi8xFxD8rDJoLolmBSZW9EdtYuN
pQKcRk9RXOT2bCjntnutZbeA/oySRNlE+taQjlZ3x3ZqMSerrDtgc6m3pLRnWjlxQppx4D+GkQTH
saT9pJxssY5DlJk5NZDXl1d1pAKAYn2fNy+RvAveZ4tWzU5vPmKdk03bkr63uQ8sjydErd1Y94L5
XrU37HH60WMvn1p5jQVEYjhl/Zxi/hA4ZXvAj6KR3035lnc3XBO6gmGFC4meUeeKGVVt3MGEFagH
NBefJwrnVHdncQYDbDSu6j9YPn6GsjMOx8DeNFjZqgTYi0VuMgL4fVQDDszD0BzrZpP0tylxZ/VR
Vb6aBPonkFJQ7B49XIZLcuDYNP1Ch4NKGwmpZiufSrjL3dpQmVs8xNNBtm5dt1dtN/YZmaRHfznl
HF473nf5RjUZlaypcHWJXgvNJJNG/UWmK6sdEsup9ZdJPU81KA0aooeUkUzKdT6cimGfDVRLq5HC
I9/YTMWAaE8eWJWCj9HuTT8kBoMpfggtlyaOgOaegn6u3v38Egw8szdbdhR/b7wl87bsEbd4NhRQ
bitZcurONeQrDmdWQUkJb/7VLjfyZ8eIQntO6k3crxmjFZBerXZTj5sZC/dsHY1rbN1iPBZoDSer
CZAStTlJZ7/YrFv91jTPJUnjhGKtZMgBCOZQ62dK2yEjM6nW7NlhPYD9RqydjPGLBBc4uk/ku+t0
uPIObYOaB4K0ENOoAccQqM3nFmcE/B0C8yI9xbhfdEelcyPDa75jvaFL52H6HPtdptxT80iZF5Yu
9T65HPxmE3+GJtvg29aEx0nbTDKTMjdLvNn6qNpHzXS0t6Up1t8Jbpw6WNUB+cwhUKCxOXoLScXJ
knSj1PtZX1vtoZ3ccHa6l7LYWfUlnA49X++jyA+JdsNHQGOPS9YPdXLN602bOHJ95ioIaNkPD0GD
BmAXR5cOSUS28qUV/TxUL3Hi6OjJxqPeuoV+xv3Tx/G63NfscQ+eTtlgUa2uzPGgK9d0PM/dXsuP
/phu1PE1y86Q5EP5zWJiOu2HAN8S3svXIL9Bekhf9JkutFNoGxuHl0FiOXZHcS7gMk93ZvFCXaTj
eqNw+HZawm0DC7hMeHLX8bxWS0IozGLC8h5Pi5WgXhqV1Vg+Vfy2K7encsLWK9rbumenTuXfSFt4
7if1caZ1yLUpZeMml+mXlDdDrVYhRTrdpEaA1TgYo6vmz1T9pOq5hj/Oo1KS37x3bL9p7lztJXVt
hlvN5zL43k9sfd8mbSsHe8iy9FAdk5KBsYPSUv4i9LsuEHERPPqcynKXYxlTZk6tXcbSGxQaO25r
PSQ6tFl/rYSO+JRSdN6XTHH18Nku3aqmalrp1YbVNFt6qUCQ+wo53AYYrZCfBvPoF6eW3JB3jakQ
ZYhfnXMA45QSZbYd4zVVZmnfh3G9igenzO5M+6mjDqu9rnyyQSkE1kSzji5ps+mKXQpXmUZGtB5h
6dTaTW4cNT+qVFylF6WHTDo2GABRO+HtZq8kmL6NYH7yoMyHYfTUaUdIoNUxRI+U0WNyP1suK8+g
9qVg6ysPQjzO9WOtfhTNztZm3tJKAVjHs2o4drwTFbTcl0r6Xs5LhR33btw8GNF93T/+hmb5SOJL
29DTPyCKMNNkM6u3uOQqoMXRuRbTreqa+Rspce1xL3R8Fc6WSpo2YUzCnXRfmVsV7ydt2voMx4rW
2vSptCrnZ5M6IDtY0uMIB1rZ5xgT+eWjLR6inlxE5Ul6LqR7Lfmhte9F4bQFZJa1bj+l1J1xfh4U
PARvbfAs44Flv6XcaYGX0ZlQQCxUK57sESWRdpXrZ1V+sMeNpt0DzbV9OAXc5UCIKyfCcCDoncZk
b+465V5huX1/jVNXaTe+5OqLB67JeOE0c85pBJQ77A/iHMDRwp8PHCm/Bf5p5koMg1dTfsyCH5WN
FXmnr4bhftL2ev1gGDZw/w8wVF1H+ORe4cu6zzG9stZV+MSc36ixBelTT9CmKpL3qBlATF+ZqAw1
P0WP1h23Tk1nv0gfS8spILrXjEya2Lz2km6yixt+SFHokyPoVPP6vsTnMPLLyQWacOwn2P11H5zz
YoAEbbNijYkF+ZkoxEbO/JMVdte8twdvGmemk23e73BLzXa1XziBwhadMJm3ICWydFIqUWKaaq+z
acKFDPRaNqliU1eVuho64wVzEtn1005A05PnQCaeKfUttGTsWX4TA/0LlF34CH8PlL3vhrc8/1+U
4uV1vyNlcZ2HPCZ0A+8woDu/I2XVb6zAy6puWPKvP/oPUlYV3zTYi5qtG7YpFFlDW/YLKWt/W6z/
sH5CvSNQLGn/BCmrKH9RoZo21AR+kq6rCuDjP0nG7CxX47ys8q06GYexzmjs6eVDXanF2piS56Sy
ELl00jrAWskZGitaz/FwV0SqspoSBnGtiYe4OlJ1a430ZjUWNH4uFIwP17gOqR7SWv1RjrmyI1+G
GVur/VMyBmr+1mA19JkNlSjoH/tXtdYDepfqW5gvhhBWdBYl3lNhH3B11KCKrAcIn4yn8+il7apL
388lM4aiWUWlRZZlH7NEoELpRhyF03rgYPqbsFSufIQ704rvcT7aSlLs6YTWQe9OqmjxQs+D1q2s
/NTotrSZzJaBqLWtcmQuabkuFftqdPMtZ7SjpuadHNNatPKrZk/Yo6XjofKR44TC5HQSkLP8KNdH
tdC8gpBuB49N1n/J8ezhFXrmtF+LkRpCmXZTWtGvTJt93BZeLYEYSVO61CZOBcNBt4r1bNlvTZ8l
q1k1sSQmH1P78iL5irUeJwrMGnvTc9iQck8RVkijtJITcY+p2UAoMbesxAEJDYo7ZtEU6Ar7Er5E
VJT1+HtQSzImB9ZbNUndKhnLF2Xu7FVjZ4YTpCP91uohb2x+owOyFu7CeOq+whGrmM7Wno1lVTsY
jX2alNdUi75bffya0/RUlcUet8zGY4GViBvybdOHaRmYd81rXGRM5CqSWIwitmWnl9QADELUKVnX
4cBQbizwAWgwF8O12GJ+MlUnPyTLxsmNRWI5uwxd9lnaI60B3vVgle5MwyOhJZdF/bGOynfWji6p
HFW4WUTJ6xQO3W6y+Q5rkWbboS1+NOkoYQSWSde5bdpj4Mdc6UkwYolT7wY7HDxfKYdTPjFg0/Bd
AYLGIn7fmDgyJQzy8r7G49XI820GcDL0xwNIk3bTTAG2RLIs73xrxtg8R+zQF6W9quS8+RwjlEWI
FzDEq/PuLCXCegoF4XCoMOKaQiZuEsq2REmfEVqCzgzMYgs/c7zkfY5yTAmHlZFUtP56H4cE2/8M
UbGtxjRinJzaL0rW/NAM9cvolnakbHhVhfkU/mLv7YQ2LohmmpuMK2OcT9dGaNEZaYdL0xRvRT7v
hna+K8bxx7/x4CezHhns38eD7VsWpW2R/xUxvkBtf48HhqajKDUhgmuqyZ/8Ioyr31SYZbpumSCA
FaGil/49HCxQZRkjAhNIENf//w0HRIoFogLozBI6O1+m9Y/CgfkXvatpq7w9RZMVgUeG+FM4KPu+
4bEaim1Z6QbHoEbIaZQsCDfyXgtxcGhoLEoDtMthwJJSNY0PaQzhB4b2OTBm2vUWShRMCmuqc//g
N/NzLDNZy2vqDj8OlyQPs6ZcisNN01KBKRPG7tyvp1Ea32wNWV7r+++9PHyZzJ+s0MI2o0FglPn5
lzxQLS2XfGyPlxknYadWoru8HV38nk9DM15zSXtt7dJpavXet6MH3V4mJxGGPaF2n+GITNFE73hQ
OIFZhrQrjD7lQX0Nx+qWWLO1nlUdeb761iXtsEpbFQebxcytsphz0chvMz5BNjcU0eb4pobFW1cj
jSoF2gjMLFwRCWOVWrSj8lD2tDBCKuBv8OmgO2/dTGw8Vk2B8q9FSaSE9A/nzmGtrfLmcpkiBMrL
qCYXqcKINjb8m5Cr51wSD0ac6XclmiA8Vwx82sYWXAbqv1qJXQDwb1NcnYU80uwzy8NoRmKtlfJR
Kq1b1BiJA5UC5YJsYRyUpDS39T3rLS99TV+mksVTV86ZU0pYHS6zVqq/Uo6ReiS1vsEt8kOrurNJ
woyNzXNtx49KU+21zi9WcRgfAibRMoLSVWuV6joNgycjGxDrWP5zklMXJzPSCNQk/RC+imjU9kHi
g8TIKwbE6Y1NrR+TxoXey5XXdShtBjV/mOfm2la4V4VC2YBH2U04TWpFaTKHEd/lmYlYPuPB2C8D
tOiitFK7ZsxBRWBOKTJV+S7sw5e8GJ2il15ykz2twTSx+Qmy1znpH5WJEdxsXc0pZxgtpfdt0Azr
vhq/8iXc2TlKtlFiUt+fjU5OXGxJqRsIlFEQ9xT81tsQlMqxLLLv9hJVsQWynH6JtH5U3ZlL7EVq
uJ2WaFwV3cVKSrr7BGq7D91qidwcHYQ3HOa1Rli3YwSnS5yvl4iv9sG7RgqQkQpEGapHUoOKFCHH
yHMmZRiX3MGqJLeTZtdakgqSC35LXqz4nyDYn4QUXOVW6fEdtByE3NNK06eDuqQsbB9fBTmMQi6T
kdNEg3wryHEqmzi55DzkPhMEMvyepE0mAGT7YEfLzNhJNipJZcmYelKnlFFGUY9oZKKDQWpltT7a
BOVakXLJS+4VjgLrquWoWpp/rGgcmZjLgK8iZwvr5lKQxPkJwwyLtK4lvauXPG8m4RtI/PxWQZCT
Vu5QpOeyMB7KQKC06vhMkcYgxsDe0ugQFydhgFZg8iJMgPdzHr1rknppTLn7ue7/b4WjUQ78fUTb
dP1b+tdwtrzoVziTv6kEHiEIG5rO/UXQ+hXPcGLBB4DACevRsq2l8vk9numWoeDEwsK9Jhby7H+q
G8KZLEDhWQxm8J0gPP4THxaDv+hPayqaUJcCh5CqCEv8aWdzKKS4qrsp2opWMhgfI3MtD/6U9JyA
0LSxaLdLa9WVRc6R0+SHyjCaXZnqzTZIjEdtsmm2WEp9T5VC8zdbjBbZQvYGSyQPbD1/xb5cIXyk
KecXNYtyeVUw/6MpIpWt5il9ufTrx4nhsMk+nW83g1OjyvT8dtZxJmP1SnRz7sqh8VLWibozY4Qb
WHOwjyFhnh365rSuSvlRYSdh3YWwvQLVz9dy3+pukUsP1qRKXmNrF6XpHxnKV17dTAhouwJxSaRj
z4bHEhY9zhxVH1bi62sxjRo8DNmdSp2dFolBjs92BWCyHpt6XM4Y8aAp0nPkrNLAtK+x1FtBT7wo
0QlVGu2kEidzMxVfcVo+VOZ4LeL6s9T6wAFLdDeI5lA30qOU2MxgkWs1SJJmeDkMZuv9WFc/bfCE
hOSwzu4m3zrC7UaD29LJi5/0LKP1lFQM0gZsxvyjVeBXJTJlwnsuu1ZTuiuWGTGSnCFJnJTCQJeL
h7RukRKFO/ZIoYBYzjAU9/7ErKwQz3Et32z2B3iKP2K/OVgMbsYGEU2X78xW3gsrORq1tuNB8lry
61aKJYAqOQ6/s8KIWASB14eSfi9ZGhPoWpFeSj9WPnJfhMql7qSOWbptFMlnPZq0GYfYpAkrJ2a+
dN7HPrxPTL6XwVfZCIGDMA4qq54Wf0GjewUUgMMoG/U6qlAqTHGhna2pO0ZKVD4KOJt3UdH3H21q
jCdFhJMj+tRY6bPp4xY4HlKbfm5WNyc/NzIXMr788m8q/1sqv5Ai/v7iW6dv0/+493jN7/eebgnT
wn1qIYeAgfr/vPcwAVLI4vnHBNPFRfp7W8eEJ8Wam2Yqxm+WVv/g5lv6Q3+6+JZblKt1yeEV9c8k
iDbGeK9SsAqK7UlfI0Gt78agND+CuTXehrzP9iLoioswpAa39cS+0w2NEXgml24WdtGPxkRMDfAg
Z7VdUbeVMWUm+vaWin6t8BnfY6wm3hpDzJ5e6M1GKnJxyJKmMR186IZtmU1iPTaqftdGOiO3oZrO
naTVezskrCdJKV7qUCnvEdk1qC3RjpfLSZgjzas4GjJ7Rq7fKIw9saVk1l4i7m3bEOoxRJNDOpdl
+KT13VjulNwvcyQezPymLrO2f/jarz83Gv8IA//vcoh6y6JvgVkZ/8a9yfozn7VJp050gl51gjff
+2PZhFTjP6k3/yYXyyb935+x/dtH0vyvanl52a9jpn1j81PFG4aH+L+rZf2bvri12bpN15JviG/u
V3YhfxMCKzdqaWFYqv4HnzfSCx5kvkjMiUg7lnTlH5yy5bj+9ykzFM22FUp2Yci2aS9bsn9YDlXa
Zop8zgANGyYIqjLspth81CwaL6aVoXFozfPUoL03yGcBehx7JQttp1UxJ3WbJA3YXArbep0nWXn2
R3IMvOLGTdmawsv7Vt2JUqg72WhsBslGfEzMYqe3sf7YwZg+JnWjOU2POsaW4o+WiXU2RMhP8zBa
04XCqjPMzE2E3d1B2JgzZGP0SefV3/ptSYApM9c35Us1qM+U8o+Zgf4oqNHBBgb/KtSIfSGz1hwx
CcxNk8JLxNhQQYTtYwdWdyswLsBkOy3cuZluaRVUe6tLGaxnDLlxW2Xdy7K6dVGxD9KF0MojSV7U
WSrrIZ2uGy+VNrXFJY2jzEJqiCHvJKfNs0lduNI0uImmZNO1ZLYV1ojU0mLcsVN7GiZmubCZKERa
VnDhGePI6wfjix5V+qHIomYFeSw7tXajrv3OR1Cf9yeo3wzOR1Nu2O/JpIMeaSpJoaqO2IgNvc/i
TGJ/9LVpYTRvn606bUDm/BtLf8ZS0u6/P+fostLoq/4f4ZSX/Trn4tuS8auyIRuKLGyVeParjJC/
wRxFryQv4fHnAOU/B10xvtHy4oxTS9iyLpYo9yuc6t8soeC9iKeUxl9LuP8HB/3PXTFdKILZoLFM
YngLtvjTQTfZOEwaORi9upsXPes4RPXWj62i+dHGXTY8FwpCftJpluL63uoiN/VLoa/t2cC3jlJe
tRGFtDPLsEqpyw+dwJ5lp/BS7TSnOHgjB1UVttSaYBV2NSLoccAiQQ9Y52aJIFCYC1fqE67LUr+a
TIYo156l+Y3KTimLQHXGireUVyq4WGX6rk9lcQlTtIt25TOeDiVDXyuBMQ1ouPNkz6ig3sVCxz96
QkQfljH/d8zeh0HiauFMt7axAFvbPTuQki/kQ9tOVbTBuzRYaxKLjn4yH+beUjdLr+RQ+/TlWHCI
HytffhNadWQS9IgtK2qm3PyqROKqSp7u+yJsqCm0lDWqzl8z+mCrZpS8cDTnfd336krKwwoBrFA3
uimh+UjBhzURNmcRemrTbM4Qm6N28++x/O1YmhyHvz+Wl/otD77+eiqXV/3hVHKyBNHXNoyfXqq/
n0pyVSIwQ8gl+C5elL9OpfUN91XbWqxUf9po/n4qrW8qVb1t0xMgbtMB/yenUl46CP8df8nO6KIT
6oVON+E3rNAf4q89F2OVdFiah0HbsOUwaHjoqGPTx0QPIeSeLprNFopdIisPmgqIkIRtspTPJ0ZW
RFxkyYZ66TTL87VsQvA0DcRAFSAIwrhqcKygeFJm/2SrA0scgJ4qtmiyGgVvg4cD3u9qEb7pDW7a
QebJk3HDs+WhrmUArc34TLh+ijLlu2bkXyT+OGeGjm+zW52ED/RwX0M0fRPByIZZQMh3yMg/xsDY
GDMLsUqbrPs5fgkaOuBarT1Hc1et2rG5qL5OiT9kV6kYPowJqZTJNoUfIDJNZgjg8AVeyLDvS6Sk
Y85CI8uaUcnmizV5/cgqTWGNu5B+KuPA6nnyA38159klKeM3qfGPQzHcygipoZje68B+CRXriHPe
NVVmBoj2supl3rpoPkO183Cq3kgydoU0S7dmLh7arHkRBWvoqu6VJh7zqVZ+2uxwVKN+KrJhDRm8
kX9MUrOy1PScY3keGmLprDaslswZ0gVgNVmAoDyXnivq/lFDbDNjyBl+jUPqVztb6ZWbZvQxrZxO
VZht9bZbM+FbG4m9N1P9gfILxbIVBbSOJeHia6Tcx9yF+bnUtBnqQlkwMaCJHkko2XI1u0hSdh/a
+sfoS4+Y5uBfWUsM7uxgEm4uMfyrlNJkmzV+GNPSzoF+iJQtghRa9r+30c8k4f9ZDJAkdNl79PbX
+2ih7/26j5RvhF9dY4xpYMP926Xz6z5SiPeCzAFICzjHP1xHS8pvm6ZsyyTqYinofr+OkFIohqA3
SX4hmKD9I9dnLJv+ch3xFmT6ofQuudtU8ps/lgNVbWqjESTZ1pIkYr/Sg9UyJhay2/YHQp33AqwL
XtvKNqhwubH9LIcJnmwrMUgot4vvkszTaEQFOk0ratbaIF8GHVGnFM5u2k46e/uoFBn9bqQyBroQ
igP6kgZACVtxKVE7E8zcNfmaG/FdYQavZEj7IQ7nVSnru8YGaQZF5MnWzItSZQAvdKQFwhqxYffj
dTlL8rpO8FQzJWgVKDFSz2ppMplRd5pU+nKRUbLsbLDQbFeIX4P+LBsZW05YZa+lvGyduFLOIUMY
tNvxp1QFF1XPOwgWXXQFssBrJXVeW1WFgVGTJ+u4G5H3NYPlJG3Jyqif1SfJRHmV+DMfpx6K9vuE
F318k/TJYqlefGlMYFHYqUF+tbPJ7o/M01niopd8H8jqW8TMbObx2LRmdKmYpqViClmZbHWnZNLm
V7LH5btJGiDk/CWsNjI/jPv2KRvYUqyj73OleKHFsvy8DPICJnrFMtrrDJ1LmGnfyJptuoz/QrDL
3LQG7FZGg4zZMaNkWkgDBTYP80MJbkQxxM2mmgJGm+K1ZNKoQJTpl9FjSK2ySa35zpzbbuWb2XNb
GDvVjlTXj1MiiHpfWmjomWYObX+VmW7O+eBWvNtpGXvmxnz5bbqiF5mXMhktiYALOagB3hGfO6an
DVPU4P+wd2a9jSNdtv0rH/qdCQbJ4AB03wfNsiTP8wvh9MB5nvnre9FZ7rSdw3cT/dRAAoUCqjJl
WhIZceKcvddOBW5ut3scHf/gRpPco3J4b77i4ZFnDNvk7kvpZZxAbUSInKJu6Izuyml620poLkba
jvM6to69gRmvFRs0kNCKjFagz4PQ7peNa1+Mg7nqiahddwHyTtFiqqynEUyGwQysHj4T5IUdUxoj
wsFnMbcJwupkKPJxFunAyF4VQMoYR3Y0ax2nvfYnoZBUK30xDKnEjCfadVIRBacF/Y3Zi9sRP2OH
7bsL2nNzbA+ZyxMUxekqJ5Jw1rE/VVWMfxFsMQAN/dF0wkdL7falwKfTR9f5yM8Z0QkNdoG6OHIo
n4vurB3RBDvYPvUIDZ2eFGsIuiVmFZh45LBXPCLps+U3+GhjTGk0rTInWaWVni3GJg8nPvKlcMW4
Qmfh/90XxLd9gcrx11Xq4vkiq7Of7Aq86m1XEPR0NP21n/o6MfqfkyMDKDnpJaba0HBoS36vUS0K
UaZTDIamNiwnyO+bgvWFc+hUHeow6agu/0hfJz61iKQqDKKdKIipd03DcqZG7bsSNRS+RZJ4giIs
VN0FU20UXIULvDahRxKpMzRO7q2NV3/kMTijI2Kmq5qMlehYcwobyb6tjduCuw9tqpv60HzLUZLn
a5pEbhqtktTzvwXI640m2Y5/faOh3n70y6Cqf7zXphe+3Wval9fevMWxSKe/+HHc6UxDS8l5REw9
jO/jTs35gqiGm8Cg5Uhny+SP3voUznTzSrRxQv12l/7JiUizmEh8OhGpJH/Q9+AXsTWaKR9vt1QR
Uc/Ek7AaOwwyuEwqM/NQhtlN1KQStILTimXRmRBlrLg41JJqIXCslcF0qhH0zqq83JesY44nFoX9
NZPyRrE4OHV6AM3E3Xa6wjbfzSNN2xtGvJL6g6EpszISsyRA5lPkWIJMDhM2ntJ6iR3iZHSnbDGx
st30ANtsH8YIPSNQY6V9Fwz219bT7w0W2ySq10MS3A14k4xIO9RlA4Ws+pqEBCLhVHNAyqjo3C3X
Wfd9c2ooIEMttHpje5wyvOREsOxVFZinsy7LdmmaJUKRbFUp6sIgRykth72XN7PRlGfsNtue37WL
xKkdZXMrxtCjp6eWLlbCPq9zoGhuODNVSAOlhhK2QFbjLvpaxwg5dRg5XuT6o+oVmwh+AUkj24FR
cDHmJyx7C4kEv+lBBKvF3qs4k9WFdYj0AbALop2uIAoZGy6aH3JXg8eRCaXAsqER/D6z6p42MeKN
ZtiSQHfOhhygcWASqjvXMk9OYhkeVRgdhrI7YWHj27BPex8PUo9WBBF95+br1KKEca1mX8A6qksw
AdR2Y5tTrYDtQLWZ2PWL6rQ3ohzOs4E8Fid0NM6DOe+54/tMTdKpBis8zexxETnt0g/AWiQ+DAwd
joPlZBgU5A2xf6AwtI1j1OdhGCizuh6TxaAHl2kYHgmz32VWvgBBT3gZPuQE/kJgmRjLspgd1xqX
dt7zWSCLqUNtJ13j1Csgd7T+ThhTy7z2FmXUb4UsZ2PkHNMpWpkMejyn23BOZCaU7ux+VGDLo1DO
cA6CY5uVeLqdtl1pk0vRzOYVJkQxBKtUWJyfwRX25nWPtwT+60w3UFYaxlI4/sYuu52d4EAkNj2c
GTihHUB2bvuSIm9i0T3yHefJ50aGssp71PbmaK0Lq1mHvU4aIag1mxs7MCwM1XhhQhgfnWasPa9E
a8kloh6Ahrwrm2yual9btLhzBVvaGEB88AgEirM7B4yexaGUFoDc4rpdiDqyNkaqP+dFBxME40dY
7xJArrKolo4drWTvnIwNLA0yaCys+i3Sqtkwpkccd3Gu6cGzlQd3lRPuJRW0w4w50fxbtS1OEhUY
lJsvlUCbUyTNYiPGPOdMJm7PTOt9ozovWhSbN15ewzbpQ7lRO4aAatPFK1G5JetI/vXv5vO6+Tgo
T369+VzU/9o3j8FPunHT6972HqQx+Ahsgz6080E4qn6hOWc59LlfbQRT8/ytF2d9YThl0LjWKUAm
fc73ncf6wmbEAmEww56O0n/QH9cnHc07HCxVDluOYZqSoZquIkf9tO24QodmWbG2pIOhzzjeFAfC
ZJtFmesLTUXrnmis1RWi/XbOGGlZ5429qTWpVEsOw2O6jfpGj5Z55KYXfh2O0EUFw2KvOulFDUjG
vCr0wtzFpVM0s4aCHOSk2ttgiWXoqOeeHzDT4uhRrLvEddrbpMThdG6nZRmc//kteggeSzJ+X+r/
nIa8j1k+0Pv269dP8Pt/XWYJ/3z+Kx9eUf2/1z/2nrPFQ/3w4T9oBAT1cNY8swI/V0387af/8zf/
f//wX8+vP+VyyJ//6z8enpIAeilyn+Cxnmqa1z/bPv3Xf/xTiXPf/PoeXVaPD7/o0PC6t3vU/DL1
WRgpmgboXuP9HMf6gobZZBxLuTP9le/VOC2a1xaugyhaQHTUvt+l/JGGfovpDxoGNPT6H3WM9UlZ
9v5GxeZi4bmRiMFQpVna53LcxaRj9VGNyjGIdHseW0qeUbwQYzv3YsQFKJ7TECUqnAj8c0al9cuw
HuKlPrjZnZa0dGnbWK/vG4uckyerMYF25EqdrQKrB3TUeni2TtTIYjXWsNvcm7AC58ZYlHsbGvRB
z1HYwgP19bkCOvbZMBp/JY0uuir5UUCO7Gp4bM1KQ5VpGmC7EtN4To1CIB3CmwrwDjR2GbmnsecF
C5VdHihJfhq5AKoGBYIX3RsGP1tmLg+eHZ/YQrmgZyaXSc7fKgysYGY8zCPbJ3vddHz4E029VWuM
B1WcHTfSelFqZ8eB6SrhoDuTSEBLE3Owr5VrhN3bvBvLeVRpMJOqIyNqb1tZnlZZREuownpQnxp9
f1005mUhBdRWTJj6eBhcZclJHgQuiuw0qJkdxZdJliwLTOJqHS4rmeyGMFiz5QCYco6kwaTNGj3U
amM7b/3gxh3UBSLYVa3pO0rYiI0cmblSDKf+RDMwwqNYirUrk5USWyfjiDKdaV0m1ct0CC4zrOe9
Df3MZV0KAnnhm+JZVdwKo0Y3G5V63fU4CEu2dWpV1ffX+JmoUUmUmBlujyvUPFKCpiVuLb7TK74J
N1bbuXilLVXBhZK4uzQoQy7qn4S+f9516koYJQ5jbVHo6iUaxfUYhMa6LAh9ySr9ECf6s2FOxTHV
oRFmh6AO3U2mDteMKE6tSeXaWxVUVF3M1Ti7gJl4WTrGnR6MhypIAJYATHAzQT022Wdt2z/V80ln
n3j3NEwq7CbDmZu4W8VwiaCS0Wqo4vsoT+9dQ4QzTalOdbdm7EaoiVWIh64dVQQDLW7RRl3VubYr
c+fWbUGz173/pDX+2ZgPxcKdGkWRa1C/ucm1aYwBpt6hn5WjEcxxFiFhUAOcy0lzcFuasiQf6mgI
FJtPSPQD/i3hjdAcw0Ya83js0ATHw3NoS9jASLGXmSaGI85ZwTaUY3Cu9zE55AV9NpISNODEbbgh
JmqAueMfGBgDVE8FNCfNpj1Zeu5CVyCWGi6MO09GAHSDOtuXpIDp+XywISOVhrII0BXFsWXOMj89
jxLnzm1afKR9uEAnlSxG4Zzn+uSiDOKT3iD0StZoyyXUUGxRlpPWCyPXrFkfVHs1c29sUdy01JFN
AnLM1MN9bfN4F/V97Sp3JtPUxnEP0kVnqtsXRpPGs9Abl1FcbHNtPHWx49T+eFuYzp2u5UQ0Ce0e
+xGOrKJdRqa79HP9ycEMhirCb+YGlmgnHl6Jw9y/ib4NzQYGV10sO8fe+yj9zcg6CYrgNEnTcCY7
6yh2KMrV/E71q6+9B6HY7+KXwa22OqQPS8T7LG/uzRxPuiLB0kQPauFvgxxMX9WYN3o6LhBcLCoR
bKtOIktVCP7O53YFmlXH7o0rcJNgvHJYdSDDLZh/XwUgt2xuHlWplz3n0cQK70sNCljn3A4AbMPS
2TQcl6GcD+7MqaNrp5YnRZ48GfAknDgBaDG0AutqtK4Kc1ONynZgldZEcm0AWnARvhqRd+KXWIn9
8QGfxz40xlU92Dyy+jmOxsfMl3RZBFpZWerXIkRcjzfhri3NfeAb99ItePg750nqgESFqMVa1oj4
LbowkO+gvUe11i/Qx3Jb1fS/fcxZO6C11apU+G76FFJRyACryZpjrTAY4reJAQXCcOY1uN2FShVy
IpO03hYuuOQkU/1nZtr3LafWueU16lymPRyyJG/nmc26XA59NHd9pVtXVQ7CGd45sT+x8lfN/q2C
sdjuf13BHB7Sh/pndt3pZW8FzNQzNCbNmG4yomTI9F2Ion0hb9EWKv1EtMKWTZH7vcye6h00Z5TT
6uvg562/M1XZFkInDF8GhTH22/9dnQ27ntKJmp3LIT/9WGdrnBEHFhBGq2EbjUdeYE/4AYUh0cVo
9k09YxQTqQ9t5Y5GP2Ob7cF+qS1W99bgXtsYAsa45Qa7ES0UPAn8NZhA6xkqeSCrxdA0Bw7isBgs
iS/SkUJctr7nvngYOzajMZqHxB3wjATFsK3piuPwVeCc5CyJpZvm1sXQJU17++cV989r6Q/F9/o5
O35Inqv/OwW3+duCe//8U3Hku2Jb/wKj3H4ti/+Zeb5NQ40vGB5UjmMqJvJv6uR/blUK6lfjOJoq
08ASMVXA/9yrr7U2Kktkw7S9GaT+Ua2tGT/U2vTWp/43xQ0HAZ6cjzcrGicxZKPXbCTTTPC9tmLq
W8Pvk5e8aE3M1UkWA9rIS2/t10a4aQZTO+3boQFJClaqhGYcg9pRPHEowpDKQM6xDgLa8ZytTCW+
vqkVp4gMmrULUimP4q9WlFxhBD5qrebRTQ23nBtm1qxKD0fVVZWqNSy7QexZTuAsaptGEEUBQkEb
s20h5XETMpiNpXVsCHnAgw1tTyyavmGqmT9WXruWpjz0Mdt5XORkVrQHPSt3ZZpeQG04uJ2/8TyI
LGgErhImn4M2UvS2CnHMIOw8H3p6qx3rENgM29tQcq1FMC61iSSUuETEgCPs/VutaxZuba291jw2
+aUqS1lQ7x9lUOR6QzsvKjZt3TsPg3Tr6uZRKf2NGlrLEKZUGxntTKfRmNXWvDPFsam2C8XD+D6a
i8xIr4pYXyZgP8eObTpchQi+M0Bisk43rlRO8x7OY0t1OMOMfDwU1T5mDtlZxTX2jwcDFooaKBuT
tKAOS8na8gf0394Ka+SGOTNMPCIuhqqd+5pgtllBnmzCETZytK+zyZ6Y6ZuhjdaqzZS5TE4MLTxJ
TbGpmJ7FdLbsuB0XNvEpCghlRTjbIIBYpIeHNMpWTqyeZgPVflIgSE+XkZusgj5dI9JZqKk4RLZ+
TkmN0DW0T3Dfrzsfpi7+SwjOJqLTVqzS2F7nvdvBAQV4oOQpLU2MqEo37hR3cBbCayLwe/XOK2Bq
VnIriyKfkXn/GATxLXcNZnq1MFG2k+ndRmCbKts/IcnrTvHIntUAIg163QAVJpOZpi228mTj1R7S
tkBONvY9R4pHZ2S06oX0Nt12L1zgf8w1vTYjNVKC6EYwG9BN9tV51kX3Rg6W0tSaaJWO4HwNs+es
xcnVC0mALrBvm+WejD3/VFG748Iq9nbiFAvPg2o1mMdklTylofcyNvYuDosbK682rOA3shz3VSrv
wi6FGOLsvFQ5rcD6qIV+plV8tl2/4weu1dbZ2ZTQsZZDT+rPXOE9F5zUBD+Iqs14rnWe2bK/Hmv1
Isl53iSpRvPKC7Z6AwK7Tmsf8i/hAOKoZRBwp7iWn/+tZ77VM5JB0a/rmXUTv/zYxZle81bMyC+q
sGxTxcyNBoY23/diRn4h35JzPA67typmWv+ZetJKpM5BQD+FCr+VMc4097KFrXNv0cD5M5c5G9Dn
NgwqHc3CPGzRzWQMS8Pn/VRUVfK8dVv0qKpNyBfUZVm0EaDVtty5OXRVJOf5kTQbd2/Unr0sZFye
eEnWrHW1i9DWFQDgx+OuHtTrfowi/TQZ0bXx1qIlqTCwXmtofoXaO0vEufd6HZ8oTSg2qNvPWukd
56N3CEzQnaw3yO2QyGy4LesFJha46OCdMqUuF2oDgE6J2Kn6PILjFsdXugllIfci9dhSScqI/eRB
jSX21+6W1XmvaeotnJV+ySx6l7XZnde5gGAnIg8coGCpGVkBArW/7rPuq+Wn+coJwIWaMUr6Ku5t
pOpCm2lanc/83GGLcq3zStEeiZiCiGIk51lSXITYljk4TIMku7qo1OzFZ51rCuesyYODAkAuSN0j
UScnpsviUwGXsMrnEVgsyU784Nbrt10UzzVLmyzz87rVwpk/NObW7bUpeYc+Vq3CBO5qaGFNDZI4
qJlVGD0sV7eLbpqiIjLGVFeGDW1aRW0jiG6cSU2BtalEZ40LDlkE5C/4Pufzpj0btTBZlMNwKn0F
hFKp0laRY0EQDElWEnxRVwRPsmeftKz2smvsau7SqlkNds7vYkVy28RtwbgmaQzA+k6A7m+hZrF5
Uedmui+L1DllP2q3kYXTeMigE2i58Jf0bCH0KTHtvrbNLwRZaASigEPh8KpaPQk02knhOv1u0Px+
8bdqfR1lGL+VFa/iBy/+qdr/na5YYPIlPI5C1CI87sMhCzEHfhpmFpaYFMeTMOPtkMUa9EHsTz35
fXnSGKCzcsHGmGy+fwTBMH9YnZjGc5JjpEFHmt+O3/z96mQaoXBIL3PXfeVb3l3mtXh0OsGQc1/J
CgYvoBpCfgSxlc5Yzhqak/zL8ZHROxQjhK20DEGAdSTpKgo9jz5dBqkySS1I1p27NgLlEq7AvhHD
A7P1bekXp2qpwIJkg9cTa1+2Fixu607R8rOS6XfnKHtXE6s4wkJjV9DqfLACLmX8XPggSq26OtY6
bVgXCW5bip321Hcdp7vrg8KnJeor9aUx9hdR1gMJHSrRP3aGXu7jEsQDc22T2M8OA62E50tK18Jo
aWsPhaocMftjVSKUM4v92TjAr/bswju4BXKzv8/L6/MyaTB+vYlv06fgIf3XedD+7KGZXvu2mQN6
0djHGYUwvnjVJf2P0An3jM19ajtQwf4xo749NNYX9n9Tn+YenMR4sr4/NNNs0KL7j62R2/wPvfaf
o0c56NHmQJiL0ooOifjshXOStqw9RxvXKpEjNt42at5BpC8NZwT0HKZLoINoeZTmTpkVz51mxvEq
yaNhYZdl8WyORrWu46DbtSQMlInTh9CxOx1DKUdcstU9vDO1mzRnqZalLzRC7n0r84JV4sDO85NM
KgtfBVwyKzIXJ5urabJZZrY+eFeRIv3+8u/t+nq7TrnWv75dV7hGojj4GeOI173dqsYXMjsxRXJP
TB2Gybfx1pmQXzT8z5gmmRMiyXu3vlN+Un3yv22MYBrqaqrV7+s7NmtLxwtK04Lq88/cXD8WnzRF
9KkgnoRak1b8/fLupH2OH1OS7xaZd5XZq6u8sHPkQso2ZcC96iuiZd59SKc/2oinH/luPk6Ri46Q
nYmR6CRGNz+1QkTmCkYcY73RlHBu5/sB+j2m42/SPbpcjH1/cpVPWsN/rmJZkJsorBG7f3xjI8ax
UO+6GvLMbe/dGRNtIjO2OZEQcfr19+9IvFqfP78nB6kbZwYee3v6ut5/jEHi2tZIZuJGb1Xg56KJ
GnOmu2oDAk0qGD38IM3orCgh4aZeYV44o2WAf6qiylsMkZxCwTzJXpbqCnMAfzTxjQoju6XYlvPK
xvbCCPI+8SsNwXE6IdT1KD7ErRUtpA/3vdEG4zlJCpI4xgGlQNsSadfn+kPIvui27rkVpOS0WBw6
CQ+9j3psL01KrkWXeP1TmYMQT0RXkPyrBKvK4Ldvp6g2YjrPmRBnHEL8g9eRd8Zo9aVwrU1Guqnh
ylM9sZeJni9zx8BtQ3RG7Pab0I4XPelbrhYeBt/Yizw4itNkl2f2M4orQLRqtXFypmwGk6RWK4/T
9Nqwk6cyjXa0I5w5vL0bXMZ7UDhLnqtljb5v3zbatfC0M5WR3hhaHRyd5Cj3mPtpKX6eoTDUu9B1
dnVXx7dDrhu7vMVI6Bn6sFZCIE3eqAqswiEznHBAQjWEpAQxutimFaxUnkJq/DHIWDw7MCnSqGcm
oCA/g8GYlP1z4FdkzClxuoFGMb1Sz8hcC4/deOiPAo+QE6ek9RUFCORrG1StWd7m8XhlEwGmEg5L
Rq55JYcqwxFZa2vVQQImE5xEcd169iWHgoLx8pCVD72N+KmK7H2SaStV6c0ZSDvGxPlUL21RvT2a
vpauwOIhU5rOTkKtvxocprhnihnqFEYl00nLn85cnZfc6RzCBGUPYQEAUjmeVV5zKziuRRzblDon
xW46yWnTmc52gqtuOuWNFuFJ43Ty62RWLsbpNJhyLCTatpozwx8XGUfQpdrB+mWP09hu2v1gtc7G
4JQpKs5IOthLIPTOlL3EWRRRcLRMp/NpjVFWP4VppF57/oAzvPhadlXESmCKx8pOfJKwQ69aqNpI
VAd5d3MOa/WuSstm3raeCfLXJqgQ0NIh7Nt/s3iIH6pe9KnIPYGB6qxWiKM/Ps+TXqzr+qHepEBF
TL71OFzl6AE7ElpU31xEjMqxUc90HszfryU/rFuvV7axEqJgoor/tDo63ONId1i3vOA2aq9NQYBC
R+woMRiM435/rWlV+rRqyakhTYli0hynx/1h1dKUQEkMM282BiG4IeqLcnBXqjPgNj///ZWm1fZ3
V/q0GitKocZpzJVCt5nTz2AtLha/v8SP3xl6Gmh9hhAIfpk/fZoHeaWDHjdSiFS1OJIAUmBIqbtr
ROZk+0R4aTVyNBkoGutAMUF2pdbf1tu31pvJFv7rMmj/8PIwPNf184/9t+mFb3UQpjQLmqyN7B9m
46sr7a0OAvZI7f02g3kVSn2f0EymNMYwELIwsU/Z6t/rIJvKiCdF4O5+JVv8wTTRmZ7oD3cojjeO
2qjPdciTnAU+PgueD222GEnZSvpSu+qybDCLea2RuWo6wSIeKo/kAr3QoOG5/ZkucuVMoBnWaJHN
3SmrqcpPzDJ4qQ25y6GI9hNNVFO3JXRRfFzrgQCnQRJx08ZDMBc60mBtHFeph1KmLck7sKtImVsT
uRS8xbMOyrQBaeqoKYKNiXLaCgbmr9zTiYCKlxUuxURFlRMfVU6kVBQm/iyzUuLzfCRAdQNaXCtX
0iHQoxZjdqeXUFfNib+a1GgR9SgtH7qJzmpSns6UidiKSUpsVTjw82DiuQaAXQs3+ao3pHdkE/M1
CpEr4yoinUDFs46WnNZ9TKIc5/MO0ARO/Q488s6iKb9XJ8BsZGrKwkvLl2qCz44ThtYDxLNhwbEe
kglSS8frRBHl18bo9pHenXl1fgpG8eDwzlrgAubQSFZh1l8OcWReGTlt/VlkB8ExFbK8DuluLlP+
r7jK4AcA9TBR6I9Zfp60QLS+bQ5/ETWSvebXj/n64al6ev7ZYYeXvT3kxhc4E9LgfrGwAuqTCf3t
ITfwfWg8/3gydOuDJYTDDghsqds6bG94Sfr3ww5/pGNLQiEJCsqSnIj+RDKgqT885aYGW8Oi0842
MbEwPj7leqAl0TAa3SYNYrHMunpfVIK2cgekhkES9+VSTkmCqp9jeEvIlUoZOxUZChwz9IdFVSUn
ZZRuPDdJTjuvIrkSwLfK2KpifKUE3kJqaPFSBls94Uwugy4jjEjYYvTVKfaOYwiQ0saEHeGixncZ
lAWKdx+OkkenjWZ9Q69e5GRmM5SI0A7Ht6Y3PhrT5G2wzK2Sy5WaU01Os7lyMByCu8adixlqYdiY
EgqV6FIrJMvVMte92a9rrUSBRhk/pxE3r6NgbZCpR4kdoaAyzrxAJWG7XRJ/sNJhUxRWttRYSijJ
tsj6TkclWYG1OYSMHq1Y2XqWtXAYSdq9ihWCIWXNsDJhaCmn4WVGiA/DzJGhZshws5mmnHaW7MNp
7qlgFV0Fmjgffeq1xvVwng6Em8itIJLaZnjaZPolqxnRQwRMSMaqduttJWPWOEsfWltcFAUcLsaw
sg2PW+GhL4s2AQG1cZUTyMfE1mRym9XekSLhao0YAtxgEXJmQMaaMu8tR2vhMv+1mAO7jnawdEwP
XbF0mDfMIibGHCrQX/qbpLCPAibKOOfPcybMkFXOKZpJXveOSibQhbCOlcY8VphMCybUMPBuBybW
I71JnQm2H6vLnok2ZM+NNfG9mXRz7D1pmXwndNxZcMF9pkzFRV1e+dOY3GFennF4aLz+LO6DQ632
fOo2vHe3vUBsfrBif9OmpL+oTXzKBAVjRXjofOVAl+y4nmb1pmods8xvQ8eZZ1CT+sBdAbQg6DvZ
CJkmEFKdoMRgbHng3iH6KSCEtNGyVyEsJQju4b53YyKCEKhvWkW99a02Xjmhqq4DNuUVXOB40WgF
+s9pwdcrXcAkL/VyE/tM3WYx4xIB99HLQSEJ/0YpNUYlqd/bcqaoFr7uIGS8IjNfva7DLlhKM4OV
knRy/bow/V2hJTXtr1fozXP6VA4/VmHTq94W6Ikt5EDoYiGmWH4dKbwt0JN1lOYo/CDV5Gz7TpMO
W8iZtDUO4wjxqmX/XoWZU24DBySbFosJS+zPNF3sD++rsIktJDSKPQowRGLm5z4K3fjcqQtCdJOw
ITpKq3T/KLKNzAPgRQcD4ULsuxjHCjSlIjnqFUvdxRNH/t4dWpkdKa1BrhUeLd87ixrp2fdG64K/
qFKzJtXbsRPbflKMPl7aOgWZLQg2qh07aKBNkkibKim6A69q+y2PnqYuQ/opRpjr/koPGL7OmizN
DEQv4APXvgGWBIvaBDL6e/++9lNtzn2/vn9Pszj68e6dXvN29zIrm4pz9RWX8xGBpzFGw7kDd9cy
8Ri/9zcD2jHx5OApxYgKUPJ7eaHhwzB0IFYs4MjH6Kj+SXlB0/bz7SsoLkw5wStxfKiTnuB9G9D3
LM3Di0/Qx4ivrJEE/wXrLtbvRB4vTHJXO8CyC6Kh11VERFw8AqruoVm75NJ0mjz4IS6hyifFUm1R
C7E9BsPXQvdWUU5gkEGb3ysPbDLspm2+Fi4hJGhJbEW9cQsEvW1jPGV5dmwr+b7Mh7O8kJshdld1
1W1ly9AqaOBPdgoWUiVdO4NyhIH6ZEz8q8rHU9p28V6N0pU9OLeAC25HKS8ZIKwNorRCRYP+Gq7w
K2FhlNC5GpLnGtwei7KLvWUP+Lr2uoUTVS9Z6V3pfrNvGXPgDHXWXH8840yhLbzM3kRt+EIXFXZu
rlFjNTTfmOTh8vJpOJE6iEQMbyhl1LwPGW0Xbb7t/OSMocscXRIRo2WGHskEfUkp52/Qgb7ojWIv
XMtcaaZ7ktWBddZG/aL12T7VgYQ41QPlThiLhesRoDFqMFsflwwmu1lfESCuS/cUEPptmoNIj4s7
w/V2NgDhvul3qT1F+KVIxEL1jMf/oJrJU9Ak6rHJyWk0bYbvZBZniSf2ed1RZxWbdrCX1WichElW
rlBKZ/MSEui66oZxrmh4aWOh3vX5cCiH8F4lkqlR6fcmppuD2YB/UcuDG3eLRPfOcguPca6RJ0uY
c6GX7aKSRNESHii2pBfdRpaC0lUkzyKzoRHZ0dYZSNQN+vAKlo85D93iBnclrls1Pe+otaHDtyrJ
MFhOFOAQZZcr0aY20ubZTuOIL9snUy9XO0uiffO3RlpY7jLr9VOttimr3NimuNF7meg7M2zI6E0y
BcQ+Y7olHhAiugM9pGEWNWVxH1kGmZFKft3z/kHfA7UICufW8uA8O1ZVrEhRUDYRHNYb24xOWm2k
v50VoiBu2A2qcSlEmOI0iac2WF94ZnRky7Tt7wYhgR2HA6lvjBtcBm1Md2+l2ySAFxXRyGdF6cBM
EymVIJT/uzx/G3f9VoO7eS7Th/TpJwAK+U6H+6oZx2/PigtpkCX5+wkQXgCwX1qN08b+TenwNpm1
vzArZV6Lp1MIls/vQlzN/kJjkiUfOtE/r/qDNs9PKGn8GJXqB6XVa6/n4wrtSr9BOtn6Gyz+czm7
/wryb87yNdtir7jvN+VNsra31WyNzetkGlHNoqvz/ZWxSy4i+L/RPH+O5xtSpGeIeHdP2pro6Hl4
KDbvNj72ucHL0veo3R+bmdPbZYLNgJAptvbZRIqxux31qKHkT4hl6GtS3QAFtcehcZkUyqJ19EXv
XCvj5e+v+2kDo4z7eNmpPntH6NB6AiNS/E2bEKzagHgxT0+T7FC66LXqlt3myHR2v7/kD03oT5f8
1IT2TYYYMuCSueJcKr2kkUM8JhIk0Vf731+Ku+h9dfnDu/u0PfdRVY+1XiNMzk+bxJvnejzPykOo
7qrmWOKr//3lph/3oaU4vTNmhYxwHWQHn0GZri8HwRnZ3wgzXrUhQ7RyK/5xif9yzvnTb+zdRT51
NIq2q0VUF/6mQQEcWkeNX5KbdFNhl4tw4DfiRav/waL88pqvbZLP74wmO7s04j0mudMv9e42Qcpg
9zU7Ba4lubI0lMVNfIRq8SAr+9FhbAleb0+4zK4J9BO1dPatTmgZzDkwlsVthPE+qqzD7z9tysIf
Pu13v9PUzHr/O5WF0YedwadtONWcYKqZUt///go/+z7fX+HTw+F0StWj0Pc3aaOfFba/00NvX8b5
v7lLf/aNvr/Mpwei1zu8bTof7lgP8zZ5CAqCK+l/+vf4FeiN9POBnNr/3VubPtx3X6jVd7WhqLw1
p60KRpwJQMfibASw+vvr/Oxhf//ePj2Btc4QUFpcpyVCsqKCjDXtyAr6yRT5b2QGU6/xtzfEp3mQ
GZW6OkbTtUwy0z3EsefRsDLEV1kQV56tUvvOL4hb6vOFDPPF79/oz5Ya5HzMOtADYEz59Ea9JrAq
veJL9ElAk6SVJZbNzX+La5oiGH+hufz9Bad388Mj+e6Cn9YBo5J9HudckKE/JutxHgb/zd55NMeR
XlH2v8w+FenNYjbpylehYApmkwGCYHrv89fPKUqtJtFoMnrWWqhDEhtMVNZn37v33Ft1aY4C2lON
ELdfP+3TqfDD0z68WyvHGoYFOVob187x/KygL6roh/76KdJ1zv7qQ13f8g/Dcgoso86uj6n7hbzp
0JMwXRmeLjzX3UjoDqSRt4aswap+//WTf/f5PixwiRHT/7aqaD03pZM2lseFzjaJ8fn1Y/7mA9KG
+W5MEr8fA374gIKeZ7HR860NZniy0mI/aKrfynCOs/oYJ8WjWRgbpMrHq3AhF0b/18+Xr2vJX1/w
n8+/zqEfnl+Cuwvi65ImCLKCh6E/9+GwpkDimNQkR3k4gUY+lNOyyZbSHwxlZeTcI7tp3CYW9eYi
qP1ar499NQBeR1uR1ecRpWckIXDjntD25m/G+acrCPTbP97Yh5VqgNgC6pA3RtXHxwHtJxZmko46
KzXuX7+dTw9h6LLoPoj0LNHb/vx2lk4ysc4wCsKyA3NUOSWKUa3cKPXktoR4FpOX1ndz/zsNwKdb
2Q/P/TC7ULRkIXBdPmMAzz2MHIkEql9/tk8H+A+P+DCzkOkCFbIKBt7UPYXluI6M5a6I+tdfP0b6
dID98JwPE8kkFEgsZ54jSwml7Du129JktefovR+OgrUrisKZLfqTSJpQPDptpv/uW/zNr/BxjiFG
losK3vZVsnSDlR2cEQ5m7EXLPaEeZ7HsDnoGeUmPdp06tm5B9PNYKm5q5r8Zu59uCn++jO+rwQ+z
ra4yK1UafhM9I14gTUgAEO14sNzCujf1Sz+//frtf7onoGJBEUErDvHhz+NXAxyqy2XMKt2tBjXl
radgIo7C9KKV828G1OeT5YeHffymg06qmxT3iAy42KgiP2setcXDfYL6uwEmEeN/fxyN6jcv9dcf
0hI/nPtIbZLFBkX2ulQKouY2k/Gtl1MnD98j/Xe6oM+fBRyXpiTpwB/PmHmTU2LUQxpEA5vOom6i
nDyH+FSGF7ORf7M5fDJaiDu+Vjm5QPDP6xT+YbSofdZmS2aFa6ukfxO3vhQ0a5MSTSrNB05S76WQ
nX89YD6brj898+PK05NQXOo8s0mq2BbT0hsqc2v1+WOljPuCXh5pGz6mzx2XgpUUwvkSaXPW2W82
pk/OwN/bx5RrNYnGwoeVl5zYCe2HcfWFVq7MtduM91VFj+phpqaolbdd3f7mdX+yIv70yA8fncuJ
BqcWK6oUkrfHSTsaIF3Pvznc/+4pH2aJRfCg0TZ8sDDW7eoq+IQ2LAzrX3+P8ic7CB+GKO2rhBgN
7IdJMerC1OU5H0ZdmatpP90r62VtefONuolXmmfeTZ7mVFtxHan2V/jwe0BStvGbJeGTrdrgkojO
XuJrpCr+8wCm5JQHZa6Fa4IaarDt1Ynsh2NfVgJZENL/x237p6d9OMqYWbTQ3uZpoTHCIAT6Im2z
8O7XL/bT9/rDR7ruNT/MycmoE8Mgm3tNddFtgVNbgEx//YhPR8gPj/gw7TH6zakCOhtR3l5Ov4qy
5Azm5dfPkD5dW354yIf5JXURQJPu+0O+BMEtldYm2PbWeWlDKsad3Uyvo+EnOl7ZZyM/hJjIBjJr
tT4EkPM1xNfzm1/o+u18OIj+9O19mBea1ikEqPNiZ9m4LEnmTeTLBXF5U1WQAo3aFZRki33oPZon
x6BfbVdW8/zrX+LTRQdVOm0AmkV/qde0ixiU0LzCNW1TdrAXITzSibct+dI1qzlI9wUZRb9+pPrJ
t32lxKl8jTJWrY+ixTkVSB0JZ5L68h3RYk7ixs7qEb6Kvd/UTr66XRX2arPJzwC2HSrhdvgy2e+6
Kzgr/uQxdryto93IOM3d6lA5d4n3m1/wr9/LT7/fhyME60jUldkUrikM2mMOzTM8/foJv34D1sdY
ysAQ1Chtl3Bdj7ldXZ3h9VehU3/zoiE+fLJ5//BRwHn8PHcHWOuIlyVhhdga56bVKzphUx2UJ8Ik
HLEgLaO2zOTJTGecM8iVZT8MrnUkuTwac45SQai2am+ccrCwfRQzQ6NQoiEyMEOlqvCGqR5WSJwC
uxvZpYZWo//QGm5Rp2+LMN/3XXGLBRU+lKYe+0A8tNj+PGlp/DiwOOcb20gMiHJSwWdOc/3UUdNy
ND0EMNRVnVsDIXL7VHbq5BVR0U1rJsDl4x6PnZpvUlEH9hCgo0t2eIEOc9c91rp4q/RwmsZxeFfF
4Cm+JsNK5p1Vx080xY4o7yNk3dJBwNIPM0L1KvgOKPfO4IF9E7dCcloUuTmbehaIT8GiLAKfS9lr
NT1Jq3xZesIsw6x4MNSEhPkvkYSxVlvRzcpgGcLXmuvSjse3tHwy1Wd9uEmVF66FuXrMKMFOG3VB
XojrIDka6r0gH4XxHl30vhs0snJR6xoEXwo1Ih0RaVRCjMClilOfpEdfGR9VyesUFAGg7N2Slcki
9hptDVA9hFO906EQajSSt2QysvOXsY8hvN2G/dea9lJuxjDUtpM4E8/rZhoxA9Nj0ZKLLExepnZu
TjWjHkjNnKkwtBAKlFUxQjWy7qfuYghU/0UOmdLkxfg4ksxwrP6O152ot1qLboiQsPUSG9g03lQ4
tLHy2EDljQvRHgcn1w5NyHS+JmMHhyhfD92N0d6l42MWHJVmFc9+P3/tmQsksdh6Til3uBTKSy7c
ltmuAufbdbs0eUH+pDYrWXkv59Uk7Cf1eQnddvGRhbXdHgrEgjuk2uvJ/TQTdXzTWER0bokK5NQW
25J5iQyyRR+1qy1mp2nbJvvWJBIR45lttORW02doXqLCCdsjQDzaavZiHZOK0+9ahfjaM1XvNe0w
Vs+Bsm6DlS68JzEOaYukWGtw+I9tWuiUMhT7723kRulpwUGeXlNMtbeKVBZCDK3cG+B0lUntFK1b
6QcapUN7ClI3US9C+EqFzZbr4xCsreZydYXId4rxViQ5mRBrcCkzoRJW8tjOu1lUCBn1aZGPlR8n
3qi9dekKYok/kuoc484Y1xkDOJ4q26IGaIye1Lwk9bdhHqh1NCirGntQb3JCbeV2E07fZK3dKupj
pnpNcZCvXGEk5LW4l4T9stzWRsp/Oxr5TjC2lgxYePomlcu6JWQiL9d1vm+62JFFcC3GWicam4um
jiUigi8rvKpITZTsFR1wild7vuuWFV9sER+KeBc3K0W4kQl01hG9XpFyFh/nqp2Sz4TaQtu46aTn
IL6BzuQ00gMp9TYklwZ4i6AS5bZeDI53g7uoj1NK2BbMRiK/x/6YSivJ/BKPz7hpwmEXwSuCpQbm
6HoBd0oQxToqmWJllBB0yZqMyX1HkFfAWaNHW+GnVWqnXyLHKt8J/7ALKIqJGjkkCjsmU7AKd6Tm
OknWOiLX2qt5wbgr6uSm1xcXVS46sHMuHc36JFI1STLV0Zkq2ju6Z0C9MCMJdK0w5UyjZ6GJDjHu
RORxlvslf+Wvca2IdArScjiaW+LOwvyv9JuwegoSzZ47PvLDxHepcvqr5esA2jTJOlDvcH55jQwa
kt5IdCmJfQjBazPDU6VwjPyN+4Y96+ekQuJX2JFubXrkib1KF9qLtIE13h+nYyMxdvpnor77aR9D
VmTD6iTBM9EkzCtRciXgywTRi/qjJBYOduKR6JH+BokdERrHoXlQ4lsJ5IwBL6/VXHPJt6O07vPe
qSpGX34J05tIdZL6QTMee/E1Hr8h2BT7CFvWJWB5C0kPUx/H6q4v3sP5dtKYvltlMMgS34aZZNfF
JUv3yjAjbZWdUdjp8qYYD9Fs01/T9PtGH9A59l7H2BP1Wz1/lczeM5enwfAVvSfe8K1KXrq+2amU
A3uuJx0b2cj4S0ovrby63nYRr2px1Y6lRfMJOYG9DbkcZvUFuWGf3sVl5nbw6IpDUt01eMi00hNy
NzRhbb+qwuuUAEWAVXPXFPcd8iqhxjXevOYCzGlEhbMnK8d0uNEqAn0tSgcqCb9cMyF0KWyC89C7
8aK5ZXocxM1k7TDYqsMlIQ9JedL1aN8VqZvOt3huyTNh8x6eElLbE+uJWOFqvse/M0MXSjfltBaX
F0N6aEXHUDyAoZbyvpS3iXipzAdNXUjLerL49IJ85j3o3YbHtBUDrtyV3elasgq/mvxmVXvuCTzJ
21WbvEzt68gelTZ2YPrXA3z/tVC3rbIexi9y+y1SejtpcfpuInnFPhir65F6b+uG2rdpNFHPuLLg
zzh5h3qxiSwrFH8ASB7lW6PlO6FGljKKnbBzyLVzRdmBOh8WxH1srercl3zy0wTJVLRu1MTp9J3V
vpsh8zHwdG0VS/ea6obSN5jgZFbK6XOWrSF9qFysxdpZsscJYnhg3JmZSRf2qMaeMp8K+Pf9Di0T
wEaEvfjh8s6mk8flp/iyZA4FHV3zIpK0VDt+m9/6lhVpJSMXNTnUbiJ48qk7JStlWckzRordVPmN
sImjozIc5mXTmn47umicQLZb49ZMXgblpKUEqDyAHsyKVd0xo9y69kJ5NRKky8IvemnnQMoIHJqe
mWHPs29FT2F9rqNdlXOXwflAWm7hii34ecK195NwI/QXpdsPEF+bF8vkgvFoBLOLpjC3iDTJ13qw
azBNdspX3eg30UjdahodpT4H82YpH0Jyter7CgRWQ5Z1Ftizds84V5p36TqbYkaKtgvTBz18M7oj
PJWavyHqXvCHqPNGy1+td7lZJ5JHBSfub5KY2cblQm9YzVpblPg76rceCfjshsA9mi/VtNIfGw1r
38kUrnAmjHZcbOkEprPXk/sdHqxp2wru+FXNnC53gtTTLBePYAz3HZFRHx3apXKCSXLFPEFFUFEV
e2rk05TeJ62+GrpXAnTISD2J9aGnmj8G/sxhY7SeEwSXaf+QNo3NCxCEDWCoXPbSFiPoLg1WWroV
Kw43z4zYBZX58Ijuewg8bBnjopKu9qb1iq2aXN12qnjQ3ysxdUfwmGK0bbsHBbpVdCwlxVGKS2wO
YPsOWunqqgdeyoao2RSMVo+DQ616qXDbW16uoY9yhPSUiphbZV44IQjXUbM8J+1uxrSWdBm0eljY
M/yYvdQCiHHE9FYTghUhkv6ovvTyQzecW+oC45qNuG0uWBWteHbk3C97J1pcRnqcboXCQd9scUxp
jWcdnoW1Ua2zmDukoWazYnN2M9SVIN0GiTsnXmHekQVlhp5l3RPVxLkLiZTTmxlquV1fCq5F6XNE
4j2tEja1HO6otrfkyY7MLz17Sp+vqvBOATyh3A0D2QYk9UlvSlixhTi4ibNh074CL5wbf+59QSUx
iQnoFZJvSW40PGfqrYlbYSDqyJXSTZas+c0TzQ9NeyycQIdeca8wX/KHIPza8QDtxUzWaNHs/mCh
7QrsodsoX1vT60e3EdwZTcy8tSTWmLshsZvzcm4mpwhv89w3BDu8iGzW0VnCvZs4xkXOvKU/iRwC
7rQZG6kT8zcLAhI+l7iCKrrJsOAEhRuKPpnt1PKkzAXZKrdeqXvk2+rJSgeJNjmCiNPnKKQrid9d
9DXEGUQbtZtqWYu9yyTh2KLaEwHzYDhaR/sG+r9VqSXZFAkzCUEubgNMAe4oerq0m0mxWqgKbwgw
EIp1I9/nGBnMFd08cfzaid5MeDzbdLoBgWumx/mpM/dq7tfaKcAb23oG7KUQeT12bt7imQSODEJT
mHiD6QrVSicU5HpC9o3sUW4PrZ5gBvH4oAIwSongsJuA2Ktuq0N1kDmNrw35vOTrxrobRiqM7Qsg
5a7w6wSnxaPU8RbDY3P1jrAhe3nu1kQjGLaZr+bShb3cYCsf3E586rWBe7In1+ti+TqoHppRWdq0
TI7Mb8nlG1ZT+ZoQGmW9JsJmhN0n+Ia5r6ZtIPSkSH3h49DDk/uNkdyrGNqK1RzdNa1bfmNVNQRf
VXb1fFLTw2g+WNNDqDhWvC2s27J+NAEQw8g2N6KxqtR1HRzC5r42X/E4aMlaoWBarwTcK1btqM1m
REuqugvi7OQtjg7KSAeRrfiOMFV3SKKVqc+IVNiu1K8t66DSTe4YbOf0WBUzrm2Zcy6cF9VWJNIY
uNEQm8XmV+h+UmQ6Y8htwxF64FtWKTYGT21Ed7tuROEUpassAmdkrHstpVBv+sRCkDnrLyP/1lZX
t0Gxr2WMdb71Ns+3Vn0aKKAY525eZ+LaqpEEyD5eY0/ovTr/Nuh+LpBDkboDV8f6eVjOE8cC0bfU
u5QjkCHfK+Rg6i8AedkzDPPUNMeEOHiFkbDQjv+aJ+hkYf6RcqRV75F2Toz7QXuJ1NWCsVqc9+15
LvymuSzGsRtJ09gZegkm8rSUN4gTmCx56XQN1461ZBJ9yQU0VF9nEaeHsp9rdgguym4xPyTiJhYw
Zo9OWd8vMQ1sHIc3pfQtDY9Svmq6m1BbVhPg5QyLeR7hSWkJoMHNI3FaGj0lX8BU4882H5ceTO9J
a+5q+XFM3tIJgJZX0f5M12M5+bN2TeoDjbXcjJYv6A/J/NxwTIvRgGLSS4tNmZ4yzlUCUSQEUzaP
nfbc1t5CnkbUYL4/RwTNSME3M4WQvh1J25xeRfOxErboRtnltj2rQ1krflm4prBPh3WebXBVmdOL
aK3aZjWUdwvSDlZrfSMb6zDd8Saa+m6Bx5fE9LvEuyL7kggemeFJdwqavSqx8Ii5XcbvoeBNGUWV
dfs2TLswxI+4WqTdd7mtb9QY2mM7kV3Ya0s32ia/ghE7WrSRxUfWVmnaa5o7lK91ChOabe2QXJWu
/thtWKkJFSTDT8/9cALEHNlzdpzyV2W6IqAfzOSssEMXyq2pvIGDtoV+YxFgarqVGkFrY5VXHwba
lKXgLdJB4WotvFRoermFFDCxK+1xrDs43H4QkgQsr5sCsMIqyzlKeRWXMlP8YtXvfXhIrEtcXnUL
Xrd4XfvQ5N/EYORmdliW00hYaffEQq/zKywo0pstFxHSYRFYU0QZGRwaVCZXYX0VNKoGp5GCSm+x
YpqTA8iZetdAV7z2OnL3lPKsLrfyMqwL9TmunkZLxjWVLn6aTiFDUVU3ktnmzc334uH/nD4GnYe/
d0ocXqkcfGLFvP7UH14JCDKEbxoaXoirLedqiPjD6XNFJGm45fnTK/jlqtH9Q4gLollX8FviskDE
C67mR6cPFm1gYLIu48+5ejv/iRD3A2EBtT6hYTBxMW5fpb/mh04KRp+yLGRpXEU9YZ5W2ESYJfDV
OIU2DA89Lcdn2o8VwZylSoWwDiWO7+Y43QSsCE6+UKKN6/YQxkT0gAXtN/FgWPz/FEj9/nuWStXk
mA3Ghpt/7+TkrSzkrihsqTXe51wmkKVLw/rQ9nM3fQ1Uw6xuo1TQSy+zmsZcZ81YLJguFJbbpCp0
pPkmVTCjSuvpW5B3abTNlVnuKQi1gfZYaeK/BY3/G9saQ/Hvx/aa9JgMnXn7VyvQ9Qf/HN6gmVGE
X/ub9E+ubrU/hvfVyKYS56PgGiZ25Qeq53e/z/VnoOkZGrF1f47ua9IhKSRAosk3Uf4hNQ+V9s99
E4Y3RmecbIAEmC/kLv7cbKga2aqyWeRQKhVUyBsQcXOofisU7pzOJKbDF9Fqqcs0DYAOtiOT0rOe
yi2nfCNurBe9K8fDqBp3jaIdtbjBcmEUGyCUt2RVHy1256iIzhP/w26xIs8dVyeAmdzW4n4fS/F2
aTgr51PwEohoiLT8Vm91n7/Ubft88isZDOQsPUy9AT6v3il0o/M2/VbFkSeXpDJO3XNZmrpN18Dv
AhPkXxhgyjDqJ1loBCeU08kep8lXItFNxXrTCNobJFU3zuJns9FWaWM8osgCsclNIC84Hsod6dX6
Waoqf5aUL6gF94Yxfg0XKeRSMHvQ+PygMA9M4dqbQ0p1MZXQLG02MEbBBsI0KJviUbTKXYRlCedN
+iUBsMQSt8+k6oLpkerCvKn7arbNdDplTeLNSXjpVRQ2jThxKG0JtlvCb0TEcN6ZesQNdH70LHlo
MH+PC5mwYUjEWd/MLh/mKz5tKgjKKQ8wuAjXqqEZbtOpO8Gb8tK4uplYgW222JUpR7vBCOiY9j50
7TXiU1eJhk2vmStKObthiB5KNJKjZDyUxuRAg/VrMX5vhBxCdphIiBxiCsj5ckA0zhlFsDzF4hiW
LhV3JGWXUUPMY/0S5uFZ5kSjLFOBuFt/qTPCA1nndwRHUdOvB0fvlXVGJrEljjcmVT27JvGiN62X
oZHPvShsJL0X7CDp7wsxu4yRhMWcvFtNvmRjc99AnBWicR0QgbaqiQ7BRekGUePC5VmP8fwgtFCT
pZE+BccRzDiQv4Unre/PRsqz9Iy7zaRDMs3LrRkrXEsbR6nqQ1i2HIjgBwX6F8JZdLugpNA2ycaY
m5vMmM+YKf1kTmjs0OzBtrwde+0JCdNNPSY4L4bgfapLQvv6+GxUM9VsM/AXQaDHE1Pk6QuvbJRD
kVmYu4Z2LcKt9GFRgkGS7sOFIrc8JjRxjS1NwNFyQpj/2IPGZMm4eGjBHF5Rq/oK+57eKlfkjnhu
m4EguCh4Uuf9UE9y/PV/h5d/2zxpvf79An/32ry2Zff61/X9GuHwx/p+9RHpGiRTQiTwbiqIR/5Y
3/ERqVc1239S3K7C7z+PL0CZYSnDbP6PG/m/uBj9X6zG9P6wGBtXJOM/AvorbC8/6hVY33G0s8BD
RUWdBHzs5/W9mBe4u5OlrtQu8I20qxav0IJseootrX2bzUBYvDgdimuoyjUFYui6xriLr+EQxfec
iJ7EiITkiOJ7hoR4jZNoDPgnhl6HZPAoDQW4gaJgUmB0DOEt+3qaUM5I1coO4nF46oxG9SsxfJpK
kAF9yOnaDisr/RJpE2nSPXbLF3qpz7EQ4R7oWzk+xPJopp6gTeptV4hmSs+yyYFZpNL7/0b295F9
xeP+/chex1nWfikbms3RX0f39Wd/HN0QSP8uWUUF4MsZHM/kNXL5v6Pb/Bf+YmBH2MIAn+Iq+vH4
wklDAzcqSVc5Ccehf3I4/yAPYnRzvIf0g8qaA/Ff5WNaO9WYB6xVbkbR4nPHKCx3iMtZ8qCFKMSp
VKPahAdBp1cGGWXGhxlXbXWILLHqnuWwz8YtXl4gFyjq6HKqIBqls1ZEqvZAuFr02Hai2NtxPpvj
FgIe4pI2RpfKDm+utabVtlUZyhfDmItN2JeW6Hbh0G+FMjbcksO/L4jqFuJiSKhtXxMKraMJVMRJ
O/SzgoxhyYTOrei+RLPWUrRsUEqETffe6ym8gGaVDwmFaz4mEKZ+p1njpNhJg5GpvW62dSCm/9bR
/O8wb7Dy/f2MOL627Wv/17lw/ak/5oL0LyBNeDLJF/9O0/9ppSdcCBck3nx4btxU/zsXAANxSv+u
meISAJ6KTQAGSRf93//DHzFvlCtOiFAgTCr/KLQcWujPSz1ggCvMCNQ/EUgqmt/rn/+g+evUxCpC
ecjWQS/0Wm4v5ZzIpyxZ5DctT1msTaRqhAbpdwGxh6tskUdHDgqZzLpScCKwXWJkrWQNLKamHkIC
W9jtdlAr39RwPMRBu2Ouv81iQ0U/ciEfrjpTetZLy2kNhK4Z4b1Rv0rHaBO1w1mXyvtpKk+IR64U
7ZusbG/zHi2SVd5wwZ0RMtHvzChIy6EJsb/2uxQpr1Uml5ECWBEJ1MaDfdjkt4sg78FmA4hs6ofI
IuW5i1o7a8FmR7G2XSLTU6ToEkbNjvb9bakOIQfY/l1YkpNaxHdaSavRCvpjfXXzlzWlVr5phCTL
OYskkvyKOKQ1ZxznWQhcE1iMEbQEHQ4JEpjB2JuRscWGABE1DTRnjus3Y8mo9mlC5GIo3PeBpNuJ
RMSYpFnfGks9dbNRUWqKT5U5CxSag8KRC2r+gaEZ9NClhzAweANCKdtVqV+47jxmpTzbQdh1dhtY
5krqsZ6T4lRsrG7R/LpaopVlAYcNOA5SupwbWxoqNbGDqlMxu2i93UrtVkgbLDgiFVwjt+JHNScq
hDXHlL25jNTbqY93wizCdUus3ThhYp9LPdgYGjiDRuzHfdbP1YMegxIINeProo/wHoTwROgaur4c
pUALl1+NtIqIHvkc9PWTqmrgo3TDHmtyYbnbhV47qrtyQa/WBvkbTP/H8Ap3zcvkNhAIbctHhE9p
Iet2GJA1OFbdk7iQNRQP8HuIzgzSwg2KlBSgrHvC+XOTamjzYzXIHHGq78ISX0YbmGuzSKl5k6gC
OeUhqxo+vaXvpUm/FK04OnObbqN6uUsUpCmliMbJiknl7kqko8NoLo4+GpmzRInJ1UGU/WVRV7Vm
nbI8zbxcp6o6xYWyIXoU7mkVqo5oDhsSCGmr6e2d2JUQetvohHGhAWAr35ViYe24TTwbXAf1IBJX
fZL27lQFX4n7QEGVpYYbae1rWSqRXZg1xZ4s1nwzxGShXyUmU764fWfdJPqyjbv0XI0AJoaGyk1F
MI5gRNxuVavji4fjICcZAKXYZ1xR6B7uNQiqnoWqIhTiVyb0RlmGjRHHq7JSz4oQ+HqT3jb9TE/R
oOEkVcteiuTnLqx2upZd4BTfTPW1y9qMF6TuJD1h7oTaNbDhBHIAKkrl8hdZT6M2v9ZKsRGi+hgO
yX1CJJApa5405StRRsYy0tso+wd5MJ+6ihJWPWr7wqDJPsWL21Za5uaLcZuMyxbumTuPfKKw1I6D
nt82lYGiBYRTFwQPc5QLttSAuym75zzryNQctH0HSqNUid4AmJuG7LoVerUo4dKfqvJGSIo1tK1T
lSkrRUHqMRBT0g7v84AMz6g2zdiQPiVKk62HwU0nFwgekGqJEq+LyKQ+joEVps9Wn3oTek+7nERS
//RqK9Dsrdr+Vm2Lp7m8Km3SrdwBtMqCl0ypbnSzdxdr2DRN5pqikDpxz8oi1t2WS2XlzfNw6tvm
lOjaC5Hnq4q7/9hk71WQudwEXhTwHElUHqSKlPDY2phRC/8i9dJJ+Vb24hbyx6Yc5iexbtca/ccm
Q2OkCyvdGFezSH8O6ZtBf5asTur0JgvXBBEyV9QDFGUbdsaNQGDLFBj3klUcymS8JWt5U82IyYjg
eNeUEvSHUR4mfHIdIC81J38+ULJ1InQnQl1vl1rxBKWj7yEtXiuN74x0skBpLdWRcEcP+HayqCkI
GrI0WlASp5l+Mt6l2fTTiR3iGsdVzV9mdSg9Cr5OT3mlzcu9UA4IfrrLJFbrxizPrbZcZiG0tsDh
bsRweBA0474K4AE38Ya41UNID6qrez/QkxMCqV0v5dx+U1hN/zsJ/ZuSemWT/v1JiJI9VL1PTkL8
1J8noStB6xpo+AfR9Ic7r0YIIyxU8d8HoR/uvBYpIQiFiSIixo47AOeT/5yEYGdYV8Q6V16q+t97
AP/gVoDD8uNJyJQBJ1J7wXojGZzKfj4JkRIblqwXiNX1sCZbbOFkBMLdXKgBhsVI2pyqTK+5OAej
nWZ5vJmG2FR27VRqbOu9ITwHIK7tqkLwI5DOcQ6VKMQ+DNlH0qXCVSqUF7I4s+9aLqk+77mKsgrZ
3eLES3Q/1AoFGqUl2HsUi+5mDpv4LgpN42JU8pSAJqeg4ADNER5T9JK1Vt8kyODmsPbLMjnSh0RK
MRgrbuc7qo2qEwr9dg6LB67gsRN1ubcMuiPKwUVP012ZWZB9JIKdUyR5xD1rCU2zGMsTBEUvpX1Q
5V3ndtcgMrGmhwaH+6xxgnGhQNGPzixUXkklweBWyU/q5n3Rx7QS2jLcp3QnD6C223XZZPmDbEyJ
XQVo5UCib6rUpKNcFKyN5qVphdewIEUtkKat2BgHclB3ddXvlU4me1p8UdhBS6OjTiltNZFVmMSB
h2g0H9WK+DNSy6YQkR3bHtW9/FtJtYKWxWk0rQuBg49qm+4GdbzJpuxGiPrnMKdiJ45sakroRHOu
rCeyLDi3RciC4ysePn6RSZHI+tgvo3QtpdqjFJu7SJ8rX2aBotNz6OpkQLTXbcussrwilV7THpsw
34GtxcO9TtnD5jw0+AssIU41M47uRsrdQJkuxkKCW19v4zw8cgDdxuTnibmGLqFoLlYSvfbEBZcV
oXUSaU1luJ6UqzhRu9NCQcb+h6paMfeyLvhaIa9VYyKSL33MdBrb6XSIOEpU1NHVGE1Il9FT1Wth
pxYdurc4XkBBJbMpgS/s4yC+LC1P3yXWsDzlgszxtRGSRvDSnBNnpAh315DcNlfXsl74WFIocY+P
eW04kR49Q0H0/h9757UdN46E4SfiHBLMt52DcrKlGx7Jkplz5tPvR3tsteke9fHO7VzueuxqEEAB
qPpDG3pbOYNVWuIFpdmAeF353hSOjLKK+RWP7LMcMeC5XFsPcs/iq+pLCk63PTDt3gpfDKOLZpoy
bAbFa2Z52I5fXFvoVrTFz2Yp5e4dlk5LsEab0I/OkyYwZ45eXrWqvXIK6bNm2o9iaIE9+jJngbUZ
HIfmf7xxLPcujXTq4cW+8SugDIkHIN5gTXXzoQ8vqxBxf1wkz4x26MBvN+ddp+0DM0TQH30l1dLG
23oyR9UUyU3AzQFKe/Mm87lHKddtyjGt5sNzFag6hvIV0/PfGfK30vaHr+mz5/Dt9xNkJEe+nyDq
6Hzxty/dLyLbCmeBieoR5aFR3nosqP6omto8mA2kKmyezDq0719OEJXKDK50NoXVsZ32J3Ul/t5v
JwgnG4JGyqjYjaew/usJgmOarGIrb699XUYkrCs8DK916mBL/5uMmD4qig1Olar7OJIjd18ZlYNx
lF1iAz9U87pyXh23BxxG/Sq7jbXwvgvs1yLMbochvRwCF+hCYpbzts5WFQZCydKzKzu4gNhKuclT
lVmqK/nOoAgE8krPFqHASkDpwoVr+2dWZaaQTGxnJkNeAxJeg54wfW8u82rUNCuZ2ZFY+hZdtbwD
dtMDj8/bew68lRuC2K0qrOppxu8KOVuntv2GzPaub9yrqnNBcCbyk1k3+CqgozpUmruIhPIlkMLH
ytDuw7z+bAfRCBBugM0PuT9X3Zh83vcPetNuer/MQOaIRxi4N75E+9utdr6g4dMG+i0vV3eeVON/
khhvOKCCzmx7XoE5hIuiAYjpRV+zvviq6qUHgh/IG1jJc1Xi1dv4wWOpBK+Jrrmg36KcVxTgPjHg
mB4oLaD2uPqSKDjMGbX70g0+yG67ndEzfI3aem3XYotGJqR++j4rE7b/vEsUbV9agJXavngKeyNb
ZW0Rz/0uDHa914hl3mEVgttygigsj//E5JAAdTCva7ecm3ryBQPlfZKGHWznchGavDdIcMWKJmW5
HDQeTgkOtrPItx+8oHhsq+wsiZV0LqlpfRez2XiaAkCWkZaaS3Qs8QWTkNJov11IovFuUucV6Far
1ZKvlAcbCanC2A+/toqfxXtd7lcNdwgck6CuqF3bchEI6hxrkNRqgvm3m+B/xcHRNfOfr8SX4XOU
puXz7ylt/Hs/UpqBAjhqbSQnPDfp65PtfjSCjL9osiO4ydX3h7XS3ymNGiCdGSzw6Hx+Q7iQaN7L
gyqFAY0/Mm2S2x8J1n7zR/qFt2oo/GuapvIDEcweL9+HxcGkB94ER1LbqF0cWs8VIoxIg2fGo545
ln4ORduwZ9JQK+2qT0spf+081dwM6FXiLqDUsJiKwvb1M78uEu+pVsDcy/nQufddrELqsxIqRTGv
SIRCZSkwFhgHCGdmtNlrTmFs7rldfd66mZbPlLjT/tan+W9hIlP8wcI8ezt2zB6syRFhwpuL5gg6
r6Ps7PuaFJylSBMgUPM3TOr9mDX+4pFGA5Lsg2XRCDH5sSYRWKYmI7g4ofQwNjv/CFv1TVzqYFHS
vuEBqYOpwgSPJa6O2KuDijVFOC7AiUABnHt9f1XkEPBnfSMbt4HriT3wW1df9cUcIVkLpfbeaQCQ
+OGw1VOK27My8rIqnauhKADomjWuzqlbhANmSNHLMOj25zSUMk5vT13qjrquOsDGjQRA1vbhkxjZ
EvXmfWr14D4lsU19GK+ut7STftFkCkVlCGa+1r1Ipv7FdTOKG+alHwO4t6ObLBYwgAVIArMW2n0q
686Scqy/LNoyWkUNgGPLfwr8oJv7PjQvT1ZfkZlf6Hb3KmxfPte6wZwbdXGtRrhTqphqg87MXRwz
KMtnhaLPzdzWl60hUNH1VQXmklyoZ21ld98gX1uINSblwh50QpQOvClMSitalMA0CAudF1oLO1IF
nCtRLoso9CbeZdzJ/MIcGpQU5fVGz2mYzbQI5pjRpruUnXumulTNaRTrFwm4teV/B8h3JAF75J8P
kNu3GNu06MhmHQVEfxwgHAVcOVVkCk3KJJwK75uV1hPnAy6Sholc8zcQ2Y87sTUKpY/6bbSWRhmN
AyAkYqVokuCJyt8bZUz/aLOqU6gYqpQGGoqmQW+Xq7ZqjFCyg90aD3aadolpwn7q6+sBq5yHUHzD
d2+U4CmXQT/HklRdwIYpMFSZVbnhKku99+b088GnI8FWwm0NjTlIo1UI3c4QxcKRxUJL5auiEhtI
mxAX3S+x9ayExi5yomfbftIzfZ035xmFBDWwZ9hPIMdnVUtRGQu1zhew/udeea0HzidsUbeK7q1V
vdp5WK/P0rqeCSvZ5NYn2aWRq8XplZ1yaTQBSbcarKOW/lUk5wAttdkgSasghJGKv5rquF9dVV4N
I8fabO8bz1xUbbiQ6nCXou1GF3hv+f3MRUZ5tE5QFVhtCt2d+K4XwSKgki36cp7DpCswo+irMxf1
AwTv75XiUz8yQ6pi2el6AmyslCBggUELZT1YaDjxYREn8gVcgL0ZNvd6LZ8Xleav6CDPRBc/ealz
FQLPTniPhADHS+lFwSIiB+TUUreimrVE0JiaDeJmbQdqVfafZB8QdAAHOTEQlBUvsa9dA23FhRMS
tp8vU93d+wF2aVVMff2LhxveAEt7kKv7LI63eWfTYHKWrRp+ibVulcKT5fLpYwwqQajEjM0cFoHS
XWqOuE49/BcAqRkluJEUQLgMzzVOV6E2uqop8jbGN5SL+n7I4O2IIcNxmodAMWAuKuynDqshqamX
HqoDpcAEiKrHEPJiytr8mgLj3JDslSY9gT+88N0eOpO60rJu7ploQ1vIcMC382WLh4dzEbdxQd2p
uM66YZ/QMy+9V0fGpk7gcpcOYGg10GHqvejcq8iNllqGB4R4TphRLkOzorc4XygXiXKRZ+iRN49W
mS8KEc9YPHDgNERiSg3inBPRpRuZFjZcf7Qxz7F3fQlUby3R8AwiFIJ86zrTfQhd9jIYMPYoripD
eWmK8HNvPHa+tpCNz5KlbLtamkvaEw1gBBK9V70K51EnluAHzvFioRsDj0i11ybmZ/TdVjVEokEv
9hmUPewqF37ozpHqmOuwUAexEU0ya8UrMqDgia8zO1jgFzcPaK/FDf+RdWFYTzJ9qiEHuGc8oNk9
D5A599XuLYv2uayt+urcyrYMAcL8xunu7Nbf6/5rHQNgxgo8EPmyiB5MvwZkiZmk+uyCQKRRNeuR
xK7il8o1N0oanSu5t6b9Ay8E3Xn1SrVrLM2ba0d052GC1nkox588DXGJIFqZrf25UO1zL83O1LTf
DEUfzZSypyGlzCA20jet61d6p1urNq4a133u9YG3GwSrrC63enM+iB11y23Zd6vG664iGXebsbJK
HxS1Ay9eYy+7VPryvIIFpjrizgzt3QA5QZNgewToZpFIIIS53ETmVJ7Ow66F6GLEuIC6suZAOcAQ
KzNHVXvrWkkb/+a/s/LbWTlalv3zWXnmv7wVVX/krXUAS9L+QthKwf4D38HvJ9vPt5b+F6UhUG86
Et6yOIQl8dYaXZXxsf1RJHq/19p/2dAP+P/pGYwQjj96bKnfXlMHF9uxtMXFFsS3bdAQkDW6IIdH
ZRjJrp12XbvxO4s2fh1/0Xp3l0B5FVl+F/hUX4q+2lYYZ1akeqAaxfPgdJ3yKUvpHixNr2uzyya2
1CsM3eAsZa+OX+zzgl3R2Vd479CndGxaiREODeWzCNLruByuB9cGEeCp6UXk9+aqkqpl0aEXEmur
wapfROjdDSl9wNa8i4pklw2RBlEfYZEG4YRB0S6KSr9WXP267PVVHUiXvVNyIHlXmu3dh6pyj+7Q
xpUSBGnkYodlwa6kJ0DhQn/VfffRs6N11doLegqbAt0YS4m2ap8+4c52YerRshiSO62p3rg3vwrL
3csi3kSwug3Ff6mzaJs57W2f4jdRmzdaXK3NTuJgMcp1ncRrRzRXiQhWSdnuu7K9K83+PFayTVV2
GBKBy1ab+0wU664NlmC8dqEIXgLd3CRms/BKe9+3BlXwYW01Gtat5b4yzU3c51ur9c+QUlxJNsLa
ZavtNLVcNRTzoiC6Dn3YkhFoxEWGToTehC+xZ39SW4SeKvRoZpUON1rr3GUmmxuPa0QdhhddXW11
UN89nCPTrEa7C5Rh8pkZRUsT/qTeaFu1MvF9sL/iynRRunzlxsZ5I6Dza0SvWiP5W9soh02DlF7Y
eOdDjv1UmNyZdXfuw//1S/ssrqkl2cBScqghl0oF8U5NBhxj6uGtDJtVowe3ludniyLw16IK3ppo
uA5FtpeD/Exp7L1D1yUMh72oEE0o9evCREEUtH6e2/sQ4Eiomo9GMZw5Tg9tmsZzXX5qAtjnlk+J
znpVeuMCF6ttWfrFgjLoVZNKt4Nm9xeqkgefNDhYs06vjS3WTMNDKw0IgxSakOZDa5o6psKj7VIb
g7KrRy+mznexZYq/WTTpsVkgLKbSzHAp8oGqh8Wals4D6IbPgR5dZFLm0EGHSt5G+lbYcDmVXIPT
m6bpWZZKJnr3iWdz0ynAd8Q1aAw26052cdcVBQQ3YPk3ZpIjZFsi71NVyJ602hkyz9B3A0imfSKu
7Czg3+rEqx3VFHal6KbsuM81dqstKMVdqI60x112WPR2+1ro9o3tK2jhGLoOB86BZ52VYAAUqZ3J
Q5Cv2iLAhwc3MRQP5E2jSM6Wou+wSgPQO4qBHoCi5AttYCytA8Ne2BEKLL6xtuOA09sG3V9k9eWA
UsKM66o8syS0WCQv2ipqxu0u6YN5YQsLYJHRz3uov03Yp3PPiqJ5XJav4z3OQZ14NqgOJpEBPCIv
vVZD9TwPvHCejs4rTa3TiKljGqPoDCAjo84MOJR4wzvgXrAfckO4jl230zH75ZbF8otrwFupr6Fm
bjZ3FV38WZP7r1HUfjZ7LghaWOabqpApSjsGDPNOuk37wpxbevGQILk6Ewov78rRLh3Hv+a9K89k
N0W7QCg0kXJkUOVhhY4iHUE6gTib8JquWDlVFcK8hWoy42Ntw4zrdWQkGJFlQz5ze9Zd2bDimrKb
C185b8Jo7jZut3Udlbq1G6zKAYxYYdzrTrzx8vQSoujOKYAWdO65SM1rFye6Qk6/5lZ5m2a9DVoN
uYYkzm9bLUa5QyAVE3Ftd3OjWChoX80UGzJwEXUoQhWZvfnvQvD9QkCL558vBOfPr7i2HUMk8Nd+
vJ1VEMcomoKiFCAxR6/5nxcC9S8WCi9qHtY65jyUwN5rr6AkYVFhL2YIaqw/rwMjMhMEA6Vck/IY
9Vfrj7pJY9HuEIQPMnPEgGINqY3qedSAf70OuLaTW1UeFhuFOqi7TRJpAHDIkw6ZW49XKsCr/LwS
MToIYIyXsmjKtdQN3axX+3Be6d06yiX4NYUUbRDoIwOV1pOv5Z/KxANy4DsKJGs1XVlW050ZETJg
qdn6s6yRPhc57yMz+AxcbN9LoJJrzcvAWJnVaBR5KRt0zctkOBODWCV5/2h5gzoPTOAFvbw1PB7n
XSNuwedxBcjumpof3ir5Gtwdj+sh+zpEyTVpdOeFDjnM77Td4IZPlautdF91yMHiqs28z2bcRvMu
9x9qC9l3LB79mcQRJg3hXq9JyWqZ70o7uB8i75PFm72N2gvTkr9olLIWuRLIbGHtAqzG50EzF2aT
3xdO8VXv8SSH4YXuWKpfSVxHpDre+CqMIK/3ZfB5Roi8m3WtZwp+3748j8xsX9IdmrWgNMNaeUx6
f4X6J+eQm/KCdJuhoMWuqdThdDefAQnpnpC9NZbk+l1Lw3nVmXa+dBzgZ3KlxhzmpfTQdIq8FJ7p
3PVaz1WkRYjcb2FzSwW1bqAXT2aWnseoqq4dpbKhWyPrYTk9KgpaXc1jyBIX4ahHLMXuWZ9K17JI
LyuB26de0sjrGiCrHY72pGB5Fw681uJqw/MEYzgJs7fcXRct8A4Tg3uyaZTO5Ny+QMl4bA32j65S
76tggKPhJzvVbSidGP3WLL0rxbTR//MdGdEu7EBrTIFng6Xi3m6Uo3W9s62xm0R4JtzpclDMclXJ
FoZwrry2XRWe+tiE6n2nuhfuiA8wm6UJGG1Z9oXf7KvGz8SjqdSgA4zxI/2XDb9lw5FI8UE29J9j
BBKeX48UE8e/+SMhyn/hT2RCv7BMqBZTVjUVPNhFWNl+K+L/zIhC5xnEEQVCi0766HD0MyXyRzSQ
gGKYZFOZP/6jYiK9sMOECJwW4gadLWh9IOB/60b5re32XGzytQ2yOx3O2iC95xZxYQ7h91f0P1rA
YJL+SyzUF0d2CvFw56b/ZXyz2j0oWxZ90dat4pXrIqfOZNF9o1WdlUt83tZ5W7/JsW/PlULZo5/5
mIbep6HB8g4DIh8DufQxTqJ7KDBQqxv0EirUwampm8vI1S+E7rHJjGQe+zoiiup12Fp3tSpuWt98
rP225vYLclm2PXmeZGEDTGtUB1Oj3UDiXoCQOrPM+KwzwldfB0AmORRABiT8lTjUqfNI7S6Pm5vM
QIUB/JxDpUzbS6X6plYUY0RZXLsZ9BFZl7BcQmik7Gi5pREGTG1skGRK5VNpinWG02QM9Xzmyp4/
dx1xb8Q6bWbtoavsR6fyb6XBr2ZhJx4Hu0WYUY2hWYbZly71n1w971eqT3/f6Yod0uVrYHdv+GqU
M51GO5iqGO8l4Fc00jO3vcz17F6OjSezTNUZrq/+LEr9ZyOozhNLvtOV6MVO9AfLD2+doXzO+9Fq
xwPZrRrN2qlseDtqelN08k4RXOzcaABt3oi1mjfKIsqQdaFbcomz3ktBDQwYP8nFL4pLJJrIs5LG
tZWfqUb2pZC688jRrmSr2/dZel3o+UapdGpVqr8TnXnveYB+ENjXljEE1qWWNiaX82ZTmfWVAHw1
F3wcofN8V43bxETnwonDdeo5W8sePc31/lOh1LedhlKP7jxIpYOZ3GDvlPyCMncPqSGJXFT7y/M+
MT9jNL/T9OpTKnMPRkJ4VRUoejWKiV2fc6nV9U1dxjXGgv6957Qry9E/Fy7rVSplSn7eQElQ1LcI
8tyZonx2NZdVrLsPhaVtI95vICWGndS6ewnxDSs2njNP27aFQErDfdC8UfgiwJzL6FEgq3BXXfqm
hwMRJZRr0wnQiKqo2XVCOmtHdkQQdFZ07huytwhCpGvqWr6VKnQLyxRBY8eI8xclltBr7MNi1VSp
ft6UybOtIqWVO8aZXABriOMU+ApPrZUXxngIa+5GrU1135dpBoKhP09z+zoQANZ9uVfPcgM7vkWu
D9Rta/wdFqI0/QXyZfISNSCkoai8fS4N/QYvYBvFsPTNU9RLTcEpJ+0MuAJ1lO28KG14apUXpRRw
6JgFxb1Wf+oLt5h3qNM/dk1hMS5b/+Qr6doc2p3eIOepZdVNniAbbbpLsxgQAecJZ75WKg+v86jN
wcHLZeu+CKUoxA2A92gXhKmW3Zm8J8B7OEZ424dmEJ0LQDzUDDURG4+Dl1ZPaTiUyDsNdCUDw1Ot
eaQ2tB0zdE2HPDXPjBwB0ljN40Uj4D2kRp3NpcDvzhtR7PQCabZUoUdXoNzQRNGnpNYveJ6scEEB
/g7uUrSiW3t+KRaGApwN9MynwJPQjqgpOOSReQ+zALVmD8xdEmY4QvfSbduC0xR+vvjvRP7+PuFI
+eBETpMiPXIajy+N99OYqqKlj8cmBzJ/8AMZIv6i1oXCCe+M73/wo62nAxlBxQRfBa65HGAc7T/A
0hQ/xyMYgPO3IxrBlD8AS0+AbpzEssG7CaNBqGuUVPlth5VKBZqXFrBY1mqMbFhMq8EykSZbuvi7
c/Hv9bMiBRjz8/NcfS+DHnoGTl5Dv4WcvIbiGkra4JTtOkARoKa6p7TJHrWLNU49a5DAJ/y1jo7Q
5NqCvxXuugpPw19GqNuSwcnfrtMueElDV0MdobLmpKAVQJdr13XWeSnfhHyg7xviH+8ev99y+LbI
/tIuteH5KTwwDyPreZdYnJztOhNiExTZZhi4n4dFeykKkxX10UdlPUxuVL/GGv/84JYjCZw+hM88
elb8XAfIG6XZ1cchxqVwUNT+Pm8Hw5ksFT8I8GJVGY5sdBpnBJB4VXaXg+2dcFo8MhZwnyPMBPw+
3e5JoCFMHIl6ZbvWSmpJmo/caiadEoz/RoecDGdcDSr8eBOw6dS5MqmTcEhNp1l7NPRiDb6XjrNr
I+F5O9DqfEOo2ZFAhOBHgRBXxeHsoGiMUslM7pJ9k7xoyomN8W1BfPSTJm0D28tK4apuu65RTI2C
z4iQWt0tWPC47ZegX57Ge4LpIpboR8pdUNWgTWhSfjzNU8+FcZ758JQrQKvJJKbJ54egmcRZajZc
GehSBw/CQsBUW/gokMV7SsRSIm0z5VWPkXJDaHPoayrQ3kKprF0VfmmTFDHM76Wvf9xJR1LGLz9p
3GkHqztz7NoRGlfExHhRlBA9PSRmpR4RJvO5tNXvT8t/jDZycqcr/Zdw4885CBdZLQvQtZs1lW30
4cDDJF9NWIfJSFWj+MqaIk+qM1LqWZesDY7SEW1Tuc+ZeWHh/1C9lli3u+nnVEu2UR6uvKb8jsX8
xx859TH6Pk2aEIYuox1kqJPskrpAgz1bb3DmrjdRra9tVZr3cGqbvt/gPjyvG1oNlKvd+PPHK+TI
/oQAjVWTCsxfQ0/l18+T93UjcZ7Ua6O3N66AuVLod/8uxGQnhEIreOyM9WbPzuYBp8LM6es/Tmij
6BLrHGQcVu1j0fBwmge39fNIifu16jynxX3cAUO2Vn86kHFygPNw+iNS8O11erCUMqWvPcsL+3WF
CqGhvKnNzccBft8aBIA5xSEDMs/UJ8sgkjEcKQy3X8fsOjdcA5+2hmQ+lPcUXU6kht8PNM1SYH1R
NrVQhZgOpmh0A6N4p1prLcrg4jk3SIbRHW+BE4HE0UiGxZyMlx/k136dGk6HnB47dmDGebK1duoX
feFfLvbGbjhDSw3LY2fj3VKCWsoLsZd27ta9s/bWxcefdgzyazpmuAc/YvyRB3OHRNTASWejwK6r
FxX4EcWvHoeQ1PPncWA74Hymsxq1KXEfsAbFmkCv1pm18VueD/E9Pb8TQY6sk9FV5GeQya2rqfDp
Q7ilWvvFGy3UJdogC4EqN+DAecOj4+MhHY0GjYOyO2g2dZoibEvmHR7J1VolOwxzS1lhiunQKk0X
Hwf6PRdpkIvfA4lf56jTG7/L5aFaO+gjZTSTerU68eWOLYPDEJMdlob0Qy1BCAUhphEs6mVXUX/i
hBs//3StHQYZx3mw1rR+EJWuEKToxTYemlXUF2coAy6KurrH3mQbycH1x5/u1Lgmeyz1K2rkPnMk
x2+Ns3KCFPLWCdOcU+tgsoVoJtIbsxhWZt9bGkoL6Eycc2LEn/7dWMbfcfD5IgTP3Gxcb3VxJXU3
vo5YROadWNTHktLhHE220KAWwnDGweix/ylG/L52tLMqyrb2YJ0Ideq7jY+ag/F4rjw4dU0oQTNH
8aOFmeFMZrVz4IdLvzzx9Y5cPNlFpB7cQ9G4BP/yaziT9hKAbz5fASATvcmxtbxG+nUWzO4j3mSz
XiyzU0n+6PrjZBT02OA5TK/5TaUZHpzVaj2E+h1aCUusMNB8+5uD948XpVNhJkswbim2AJ4FTaK9
hlGxUpE19q0TaehUkMkH9BOvUPOKIIhyzEyMQVRr4ffhiSi/P2XHaXr/YpMF2FKQNaJxKCDUIuTv
qj1rXD4T9P5h+fbr/2NPHUSbrsG09q26JZrPYFTzDsnGmem5y38VZQSHHa70zmah241arUsTjgk2
VnUM7BG/oo/DHM2v74OZevxFXZG2kcNgwgfFX+b9dbdxHhP0BtGi/HeRJicS+Fw58GwGRBNsXnW7
Ek0JiBiztN1KIDiUUt18HPDo2hsPWYpFkKanDwEaLI6a0Fak0N/PS3CSRvSYSMmJtXf0Ax5EmRxQ
zI4dAvms4GkvwnSfXQ1czBT6EivPPJH8xn/qt7PwINQ44IPk16MQ5wwJA/J10CPKW5CdMoE99ckm
OSEH5U7RmMFYnbq0y1tEzrOhPrHkTgWZ5AR3MOO4oji/boKzFKEbE0F9BCf/3eRPUkJlBoGdJ2Tu
XqVHZRkzBZu2xD+xxE7NyDQVIE6W9B5D8QUI99pfaHL47waiTfJAUgvDsxNCSLo3lxJ6O4OysLE/
+vh7HU2h72vrm3TEwdpyqYFHSsDa0p16FVm4XODnVr+mIZJM+Tx0UESKTtyzjl4bDkJOEoJnyXVj
9ExRg7eVG+0DFB06vFlCW5zYOMdXHE3akfRFa3fyoDVcl+dUTqRU2yPOX/XXsJ4+/n6nQkwGU2d+
kXsZF5OGLkkqofuACV7yf62F93GovyYAI9XqwpQIUihvcKtbx5gPeHp9PJJx+/2eZXgTCQU1Qn2k
2xxmmRxoeZYGfbVOMPXI0O4C15mUS6m/xAPn41DHt8/PUNMzLh6yLCwxMF/rVTsznCfD/TO3XmpB
XAwocf89lunp1qhxL3HAcf01ciD6eMtV6rwojIePx3F8Jb+HmU5+1WV+HDMvlXMfYlyCXoQZ3w54
VX0c5+gi4+k9EmlHUPYkqfXJUOdyxNRoGUgdhKmoAYnw88dBjhSA+WgHUSYLwHGDIbU0ZsVB7m2T
R/WL1ILpz3pja+gU0Gt3Dnh6Xg3tnSthT6BGwyNo0reyKvYVehkzK093VQTJQS7zbPXxrzvxCabp
sAAhFigqMxrLTxZeQOVGjV8+DnF0Nq3RtnqkBv9mIxvK4L18o6nWXnCDQEA4XNCZxc3o4yhH1/5B
lPFXHCTcPnAMpygZSINbgyPaWUrh9OMQ43L4bScfhJgctJ1XJ1I1DsTyt9DJ5hXW30l6kfeAFsxi
GQOt+DjgqTFN1ufgyVicJxV3VvUOPTO4T+n/k8kPhjRZmyAGFVGOQ8qBC8TWVY1vVNeceJwfXWMY
b5sGvUmqyJPjoqw8U5JkgyJb91QFCNE8BNGfl1h5Ur6HmGSMAv2GHAI8SRZ98CbDKRgTLQV3tP9j
QnCCAF1JXVqbYnxCSGguKM9q7Sq4suEEqJ2aEHF0kb2H+FaOP1jHvmUWYRkTAvwiSo3Zl/gCZ6aL
4szbthfWGk7dZ+k2ujQW4tJVZ+VZuC2/DPESgty1VSzCxc4+8WmPnl8HP2gye2HXxb1R8YPS7E3D
JkeX9gWwoMC/hXJ94vsez5UHwSbz2ABrwLScYAD9/bn5KX5DDXMNO3I+XJjzrl8+A9a40LdReCIP
Hr2v0USlKkEH1RwFFw7Th54GquHlvKacJwT6KUwId7HcQQgE7vr/rKH3SJNNHZh9JaSMckSa1Xc5
Zpt2adx/HOL4lL2HmOxqU857oMoUeoH8qJioBmq4sOqNq2sIAuon5uz47v4ZzJpcqC00YuS4J5hV
ODdSnVyaarnzGutELjwVZrIMBUQEajh8Nq6Gs6xYZ+i4NI77L6Oovy6DPu84Yg0GA3L5AiWaMy1U
ETiL84ePZ+jUaMbMf7DLUWtWM70ZZwgSZgiExuu2IZa4H0c5en68L+ppHwVOTtrKElEizZjJ5jMU
qI8DnBrG5NDVPd2Hz8muQQBgpgePEWoJofLl4yCnRjHZmriMNchZMooKfYMqRrHnRP9ltP75/WA/
+E6TLakHfTS0iKqtpX2ez1Gk7F68y3CtbJLFsOd/btcI6Npr5Ja4jCGcq68/HuGpzzjZr6ztRjMF
a9uDZVxUya7UIHxDoPlXYezJTk0RtOsylUMycs5DeWemSywQ/12IyS5Vi0CDI8yCaNp9g1FemMpg
Kk4NZFxWv13E3ucLjPAvu6cDR+mJjPlKuj2yz1XGh5vl/YnHztHmoDgIM0kGQzvoRusRJl/6F+Wm
X+OpfCNf+A/iASzmSny1HhGOBiwvzdS194xp7mZzq8+NL/UJoMqJ9YmA9y/jbc0KqnQ0jhf9AggX
wOsTDXUtUPSNgiHjgzgFhDix5+zJxu5qT7iOz4r0W3850vXN7rub0z+Wy4+NScVcCIkX1F/g0U7G
FNpKquWMSR6NyJV0ozmXfnqG2D++P9cWCGMzPbE4jx2LhyEngxpUy/Xrb9uc9l23COQFZTKgkvGp
+ToVaJKxbLMB2KIwto7iZQP3pInTW9/EuVEY/rltJCeuaMfujIcDm+SvAGUyuRnXh3wdnNUDIPBF
le4yeR60m4/396mRTTJVGFaaFLqkEM/aNrBGkk0QL22sNoPFx4GOpcSDIemTXFW2su5KFgsQMyVQ
UX20Kxwb6EvdPH0c6MSI9EnGAk0R68m4Dlt0hn2snCBq3macY57vcAdtTtyWToWb5JQ8LM2sHNvj
SGxw/s/611qjghJD0zoR6ViSPPyCk6QRDDHVBZ+pisW1BAxY0f2FjdWsXT9+/AVHpcTf0vFhpMm+
Kts8FlJIJJDyAI/v8q8YLM/RcN9o63h3l9y659nzsFR32YYCi3+uzaXL5Cq9z/bhWX2W3kb3Bbyu
/2sB6TBSAAHwwp18aARaoaeP7ZGEOi/3lIUYlXYhZXw8+GOJkpLGzzCTr5y7IopzmTD0sJYC5EGZ
NydCHF8y7yEmmdKsDN7PFiHU/gJheTtdmAFyG7M4WH08luMp+T3QZB6rsEo6vyUQqhRoHibRDYZ+
2yIeNlngwtzzMQEONiilfvp3cccPcHAZBnufBuAz2YLDJsFjXZ5RIefuoJ/Js1M1nKMvzMMJm+TK
TG7+rv+ny25rfqru1AVWceYSWqF0LWGzMndu1Cvz0pr3J4Z5aqlMcqdnZJHVFAxTxzk8q6pzVBVO
XFmOZ82fMygmWXNQe86B8SCwiw6OtVBdtISsfSn1pxblqUiTtCncwPE9d1yUqb6tpMcAs7VI9U+s
yFNRJhc9CYlPxUYOfm2lEFkpzQcOSkrWiQR2KsokVciO1MdGyVfzgqeq+yq8e9s7BYs6fkTjUqRT
3TBAN/+6xp0gsXtdZ/KTL459YePEAFkfQ2992WsnEv+pUJOPVuVF7g4OoWJspVXzNVaMXdD1WxUA
deoZM884sbD/R9p1LcmNK9kvYgQBOvCVpnxXV3vzwlC3WvQOoP/6PdTuvV1FcYsxmpDeNFPJBBKJ
RJpzRuyvmQvgW7nJAgqGZwXIk/BCW9Ef8lfxWKyC23HMydZfQW6QxBjEsYKv615jSejE84bDkHjo
38RNKnl2TAan0ZZK7KPjmb4zgA78300bDefMMTUslwW2c+wq2mJWTQArr8dsKvzv+rousxaIEXFk
MNGcR3/DBJ8JqiVMsBVjQa2PQT4P7nQQK+TARvhXUqYxVemrXSpxSPH5Z8Mee6AQ1EtP6VnjAwwc
et3RKwoMt8sliz1WmV5l4Cxt82fVpk/FJl8DsO0dwZW7duuDHrjdk8Ds4fZvlPsWPPHrTcVLamLc
HLzP9aaWhi0d6iPLhgVfMWt13/pNu/kHqc2Tuh0DYG7cebnyEYfGj+uazHRco7viTMbkAHMxJCJT
oUraux5QJ3bAeWgjywzwtByEFS6l1mbN/Eze5PgGNdDRdA3yiNCsjKIkzt8HIOd3+WBXycd17eaF
gSZDGSH+0K58aSAAlAHysQqXnvUnwfapqC0v/mj812LwFhzh75GbP84v4LtBzjCyPrDJjVvlTR3J
4yXFV9WWHHK72wzr2lHc/LbeXFdrZpoBm/Yta5pcaWqTem0IWRTYZM77ChgnkrCyjXCq5yNaJqzy
NnlS3n7y6G9O9ThgjaQ1IKmA33vhpJgZgw6r6OAH26cRJ9wrIgeUBQspiFm7Ry/2WMBG+DRttNW6
IAByL0qlIqW3DQF+kJwtDFDNOsEzEROzBxPTINCPiPioAxFBPeQYuZXpTde3C05qSdDE3lsvaPxM
gi7AIXD6onbxhtXowrtyDJb/sD0gaKJbHvVlYKRfbktayEXbYxZ2rSm/EjBZ1DJmwQzQ9HqGs2B6
s/pgqg4HCmB9v+Hqz6+pTMmHupJa6DNoAWgc8mzd+OVRklSQwWIeDLUM8MNiwOOkcRWAjvIPiYyc
Vp6x8TlZ01rF7dyiJe76d82azH8/CxTSlysg/EqOWIXP4gAADIKbCkNp1yXM+hIN41u4aDAfMu3s
VIHgwYBQgQcLOELTTrsfDDNYCa9xQfPzTgZTWrhk5iOdM4mTJxKlXV4xzLWu2brd7YGSdtttuk1s
s1vvljrVDWDor6s4v7ffKk5Od5cXMclMARWBRJqZpxw5cG0pAT6/U0CkMwGSPEIuX+5U6XVF2Y9t
HbKHwLc1Bjdl3kK+bzbJjt5BnAggxAI1ahIBg3ij9PKBj85Y+eyc9lja4iu31Tfdkbe1I68quwK5
zZO5xaz6wk0wq+CZ7IlrEcD2SjK9RILf+zAramk5XTiEs8f9TMJkCTPaxizQoF1GfqUZSNxQmurB
nEKrv3HEOlopgKoBXMJpO5FWRZ3nlRAkZa9d8Mjrv6lxA3T3PwKmTURhKscGV2FxnvbGhmNkLCQr
Zy0ak8D4K5smWkIuja1pBab5eY6gGp5Jjp/VFG3f/3x0DLcxUJpk4NBj9moEyT93ibzivhpG9Xgb
5y7rUdQJQ/f6yfzTpsZmBoxUY3AIWMnTF11bJyXSS3A+0mA+YvP3AAlfWKo//RtEYCoJGMlw7UB4
nGgRVUYaEex1UqHjFvdh7gOpoXmqNN8e2vVf6INt15mKPi9temF1te7B3LDvIYpdnajtmlT/+JBA
n28RUxz2BpNwRhHhGFINTzb/Vep+CYO5pHq+rsqfh/FSzmTdKDikwUmCdQuUr9wEzWb0WgMomiCT
/O8ETfwKwRhvno8bVCJUTrttLVqLqG8Ak7gu588zc6nQaItn78NQ8zlyFFg4wjiQNp8ZtGnYP8+5
X0oZv+JMikQbsFcGsIAM4Jv8FGe3TbJ0gY4rchkWXcqYnH5QhApfRDg1edfsS/SCcfMHoG2sGNxZ
krdLouwOo9QHoIcOtteKH0wPHq+v5UiH/ucnaEAdGmcZAb82sY62ydsaPBUIZYPizujrB/A+uY3U
3xVqsgHPp+2XkiX5BdBAwduWiHwDbKn76x8xt6EGw6g/G8MWHLfJUiu9IoEbB86DfQzqj4JKlqws
rPWSjIkPVHlrkIwgAgWP8/NQhfeyb+wNP1w41KPtTXf0XJXJjpKuLqJeIJrmgEMsisHm/ev1xZpz
gxjNBLIemJfAszfZsLTjHiyzgWcS+dGH7Ri+elPI0Q7AFbEl+n6hX21WozN5k1M9aJRmQM1DERsV
uyYFIOrXdYX+TJIwcK1gHBisKwyjkpO3wVDWWgwca0wkqXBQKX8tG/ZRazUGOMLyOVCiT682Fqxh
fhH/K3PqezslHTpKoFQF5LS4bYGSCXjYpCCbtur2aaQ+XddxbhGBKDK2DOuY4p2OerGoEEMWQF5M
mz3xwE5oFG/XRcwZOPCMMLsLbmsEQxO7CIGylHQhvK9R3qnxUe6Pardwk8xqcSZiYgp8iKKwl+F4
Y39YDybw6cul6secMaA7GMuEWIL8pmM497qAai8zs4ExpA2wy/s4ACziiCmf2CXnb6ADXyuhf3d9
5ZQ5H3gmdBrk8SL2lGB09YVTu7JrAG50Va4l13PKtVhT1ZJefDdwgPbuNu6P/qC4dFPcpbfZrlmX
YBXepQ/1C4AYF4x07uI+/6zJjsos8DQWwmhAGWh7JVJDwR5TJxgAWBoH+52om7othuXG4xFwNMo0
DO36Ikg5RRja2rKruglmRXfhe3rj3xh25SrrfKvZyUbfx7fZTXQDpP98IWM0a1oUeXG0RAOiboqI
M0SdH7YePgC4uFUKFlw0F13fZTK7nGciJjdAJxjN9Gy0XqvZKo5YA6YyKV128g7MKlf6BoBewFVm
x2B9XfLsyTwTPLkTGk0FcijolNcdMh96+FmRLekS57qQJe3Gg3UWrgwkViKty5Bh8XapcRQZGCf5
AMTNpQHSmTwiA3U5esxUDD8Y4EO4lAQyGzmVAJgHoPAG/OQc9VepR5AAqiCn9+mH0gHQ2lCccGC3
wGbFRF6+NBM8v6JAlB9DcwA8TU4GOOyB56MAq1xgQoBrawLyUCP4eX1Fl4RMvF2X90U/gF11Hekj
CYNpjSwfubI06D6/cd+6TJZT6fQ8N1uI6UGSAtqQzkhd1KswIrXUAzF/xr4ljf9+ZiIYN86DCPTu
a1F+VQLQdy/XF2zp98cFPft9nF8jjxto0mbhylDKx5IDwfDfyZgc4krLW6nzsfO8yXciYWj/SoAT
eV3I7JYAIRMkXWBGxmT2pSK0R/4aXN9wvP2DUpJDJwB1lz4JHi94+NkV+xY0bW/PQuLnZongm9bA
G2fKjW6oCyIWdJkCcTGJkyxrIKKpgIbFb0nqAxp3nZvdwvN8SdDkuKiJgVdDDUFt9tWUjZtn/TrP
mjXT/ibXgBDnP9szbWbR1JAJL4cNdHW9C3l+NCr1b0z5TMTkqJgJ3n4xhzKStIvrW1l6vG5hdPT5
f1y4ZwImZyXQ0BOu5hDA3qUHb927zWOaWp2j38EDOMKKn+jWP7Sf2p22PhRW6uBVvdK+hifJ8Z3r
37JkhJMjhTFJzMwH+JQqv6l8vPEU8S8lTC5Aw0jBJDPgPA3FW9T/zBBuX1dh1lUjV4PzKgPldjqv
EAVFATRaXEl8ONL8ozZv2rr7lzImFywJ/ZbWYYG0cPNDGr4iQIHlxoKM+TP0rcfE8bQ19zMMuo1V
/KNfHGLvVmrdiCwkTRdWazqjQCNTNFILTXzQOaMvZpvp6U5pg3xBmyU5k1s6HTDT0SvYlax4U1LT
4qClNOuFZPb8QfrvkjF66asrEtaAtUNUN3i7pgRamO+kI03AwRPxgqjZ3QG9jckIIFpRXJyIqqhv
SDXuTz/a9tFNkzVuEP3sgfR53ZpnczIjHx06gWHMf0BkhZ7SSsWYk4kk9SYP89JioPJ1/DCXrBDN
byB3qI+trLrI6rhgYHhqpZEQQRuWYr1ZjZEvxp+xUDHtxPDbPqkGGR+SmT9YcqThuyo2+nB/Xd9Z
B/QtZdqJIeM8g0IrxEQcka0KJG2lupDDWNBj2tYacg0gxSEcEFeeSfeqi2ddYHqsT1bXNZm1eKwV
QUEHkfEUFiySC16bkgTUaw5se012WbeKZWOheDS7XmdSxn8/i7P0OtU5932EJ1nhCoZ6G23/pYiJ
qYtBQxOOMIESOlZNMdsXABTi+lrNvvTPtBj37EyLnrOqMDOsVZt+psFt662TqIYcjkynidSP6l6X
t7Rqk0tIixGhpGDFxiihv/HKZF0n/Md1EfNPozOdJncEADRIIyHPA4T1BpRwI9Vpu85UBqTAyNvF
RYJB5yEC96B86hPZlgzFX/Ad81qCcHgM8024j8tVTVpgX6QZYqO49DG7KkBRYS6ImDfybxETjzs0
RtYPyFqv66i3kJW2/erG0JYGA5ekKJeKKHoUVsyDFLxD7QQN0T25j3tvwSiWpEyOUlYPpi9kuPSw
OGryB4m2Wfx53SiWdmT8hDM7L1STx1oGRXrppfUVPJOHhZO0JGFykrqce21GRu8WpquGg3so/udg
eXjz66MfNnXgk097h4jil3nb4/A0QWrlMVDzAdfa+JvrSzXrpr+lTLuG0MEQKahVwnjpo+elNjiX
3LJqQOe5NFg8K8kgAFwFzgHKDhNnkAPgXZVHZyDHLyACA76ogq7MyDYGeX1dp1kLO5M0cQldF0Rt
GcIlkOJNUm81HlvyIszg71bmP54TBtC8QM0HPKJpBUURTUgHBc6U3si9pawUJ3Nu4/dhH65Vhypu
gtlpi1sPsRN9Zf4uX4goZy0QkNlYTMTgGAa/tPHBrDtQh+G6ANX4ttPovhHt3fV1nJk/w0YxglIs
Q5nKnLa3IOM0SFoMGa0cZWAmLV5BSUvcQi1sM1SOGUl3Q6M/KRKwHGNQyww1u6W9+chSjQHPKLFD
sKeLUH31/VSzYnBTSYH4BDGDJYLol6T79wUQkFxvoHfozhCbJlnCxJ41hTMNJue0CsJEkVsm1iYS
SU1WWpH4zJvUub5Qs3uBEgOKh4qCYvnkDdErSQr0eUOAEr58Jqq3anrl4V+JmFZPpNgDwi56b9Z6
9iFANkGkpS6ueSXQfUMYOvn0ab0ELU5JpEeaWPct2txLHTi0S71Esy4ATC3AcUWSHdWnS5stKajS
VGmsIpNjXke2n9w14gONdvb1xZp9oJzJmTiAgAeSGHq8thiqS12gH6Ug2sR9eqOWhiP6f96aiGNi
juwrBm5Gddq9RNqg65IIAUAO1tqAf5T9z+v6zOA0X0oY9+7sQst6UKT4Yzqbr8yHYgsqBnC8rhDz
MitaBZnVWED/2PbAdHJ6amfvyZ2/ivAfX/+M2cN0pufkWlU7sL4JHXoG5FQUHZAJ1ir4rf6dkImN
BLKU5UqMjCYQMH5AbydtzCPGyBd827yJfO/Z5DZiOinNQYIug5zZgMWxPPFm1okFZng0fS7hqMwb
/re0iUGC0qOkgIlFkgG09KUf/sxr3EtSvgpC1VtYwNlzfLZLE2dU9zE64CgWsFYeNaMGwnu/IGFB
mylkj1H5XOMeJEiSgyVjGUBv6bEosgV7G1fljxv2W5NpyUGISpHABToO34DEufoM/GPevAFOwFLL
ZsWAYn3d9OZXDvUVEz2sFHXxy1NWN37aVhrkjTlu3v40o6VywJxGpqxp8H7wsJoy2ZuI1qWm1bA6
E31tZmiH7CCFL6F/0qsvvGMX9Jk7r2fSpvukS00Ug4YV+hQjd+Pe9G89fanGt6DSdJN6T+mNuoBK
nQYy+Ujmz6KubvWhWKcMs3t9tPMK7/H6Rs0ZIJ5aePCjdQVzHhNHREgDUpoUAZ48NFZcZiMzjZWl
p7r458jYCL8RsFLQ4ABUevq2Aw5pzasO2hmZ/1NimM0TQOoCGP3CjaWPvchTWzcVqDOW1kDlNfFH
hpqX4I7F/V61aWfHpt84QFV8Tovus+Ki2tdBLwB079W7hJAvfDLOAdnIAbr5WyP9KAri+gVg90wS
3A+NZ4/koVlR7UlWrLqwvB8w74GKGqMWiDpWGRrd0frI3hCs7OUS7EcmMl6FCtbS0pRv8ySzlYaf
kCU6YPe24Ld1KAUheYZVt9SiBBCwcmeqReu02AvwL/qHKpIri6tZB7IAcJMaIGo2/Wzls+5Oj5pn
r0wPEaJiX1GOaH4Hx1SX3DPq1wdiBA2G0WTwPUQ/ucEXeu1nbQUDbwQNGkDxn+aHJKlsu1AZY9hs
r2PWwwjveHPPQRN03SZnD9uZnMkV3YKlWdM1T6wHtMbFDVAngpusVhekKEvqTEwf0Lt96DcQw316
AJqGm1b9TvGynQ5qYl/wA5DzI7C6S7eFkNZaXm+42eVWoUW/NBOc8R3ZVT3fdWrgogj6EuZx53KW
mW5deLacCldLgCbGumSlsuYmzyhgUL1nPeh2QaC+4Dw8iKrcE1bcRYlOXUDofyhq01kyHMH6+orO
uGO01ICwAJlmxFfT3C+oiLXS80Gb46fKMwx8EyblP39EXYgYV/ssrjKiMm1zk4p1YiSgwIQaur+6
rsWMXUAEgxIwQQ12eCmC0LYMyhAiVBLZtQ7CNN3l6RJ61O8nxh/+48z8JpoQIYpAGbOHwh0cxVE2
BPFhbPmu/5TeZe3KGByyiRxcnStb3ZDSyp1gP9zUsR11VrhK3nm8F5uldpqZLURLPzqwQAsEBuWp
+0SRPc8igedXXwwvRQxjAsL7wpFYkkEvF9jIdT3AnJdYx+B9j0JAKy/VO2avuDMtJk9tltaEay0k
1N6RZh+JV36JIgd1WmqFZX1g8lIIN2MzF8s28SWykTeemmPZUrN3ZOrtTAow9Fh3r5vmXAx8vjsT
X1KlRDNaBWKUHsTj0oHjkV7XbxKe+GnzF6Xqc1mT+83DjadlDK/L0je2HOiTivY6BP4mFktFw1kP
ebZbkxhLL8D04zPsVhQP7CBH8Tvp8pes8EHXw9V/PO+O+ABzEExDD5eOybRL42tH8hgvGY0PBL0R
+Ou8bk/zfzyXdilkag5SzVO5xj7V3ilJD415KoaF59C8xX3rMTGFGoc3BreAQMP6cyReOnLntb+u
W9tsNul8rSYuqtWUQOcN1ippU0yDmShxFED8t8JAt72wQPu18a6lnoP+iV3g+xudySueIIEUmceE
K4DLSQ/oetIBTKWeJMEA9MW3ZDAONEg/0Cf5JVfw4hXRHw1THLhOF/Z69rj8hmkd4Wcx0Hm51xlm
hzLVI3Bm8DAV+tm8VVJUNkUDkcTowtmc9WpoPcFDBJVAoMNeCjOyIqjAqSzWnRK4iqTZ3f/xCv+/
+EfaeBD+uDIwlAqSm/9l7bkUUeWERq3XY899llhJSE+Vod6wqN51WtcA5kOjTqJXW5AeZU4QZe8E
OVXMFInWUTJ/ZCHlN10EoI6WmK85C3ehiU7JIiz2mSf2A8cMZV/md/HQPRaVcOpCS90ia/eDGb53
TTfgSaIQC7ipwz5JTSA8SQO3FJNgsiAWe7TWboq+evCqwQk78DjKCn2gCfh/mrI1naRn6U4rfB9D
rv2hHR+DIKUFdigymTYN2uchTu67Sq1tfaDgl+S71oy9lSJ1674xnQZMrDGNXE4NNyrbpZapmRsD
g+CYMQOpIerW0yKuwo3OaELsnpqdYvQ49nRf6cgGt7olFG5p1T/HeYdeI8M7JmSQjZ5OveOilVud
wzYRxDzHAWjN+x6heqI3S/wCs57CUEGwM85/MXPiXv3AzClYd5H2NjRbNp/DpHaM+OO6r/idMvvT
Ng1k1EBap+EtfmmbXUXQBM8QNXkxmnElUwO1Z4HJyjTEaW9eVaknu46i4luBnVVLUgAlCdeU+sAp
FYqaQs8+PD97NzGCua6KUgDsWLpXiv65BaxiK3d4CzE8nXyl3oe1tAqU3tGRn3EbVhNLbbOTaAZ0
NFR2V1VO5/ONBPC6hcCFzC4lCtcj9xOFnUzOOOOhF3io5q0DzX/QhboJ0RF9QDQc22GjtHZZ0oMa
VNuspY6X6itRDicGcwIpKtdW/kBO3qAseOmZAVNcNmcfNblslDQYvKyAVyC+dGsayVsJ0lhHbhrV
0oK+BZ1ko9taUNyjBuYofu62Ufsi9yayaBSAX5kOJOnrxjCzTOOQDEY8TCRX2TTDUJXKkKoMhZau
jByve0zb0qHy/XUhM5gHY43jW8okjDQJWk2LfLydPP2EG8azVUl/KcpoZ0ieW/DYKdTWrqNgJUfd
63Xhsxqend7RnZw9Q7wyC1NKOrx0lKbcSGr3ZIYNSLVpsISXORMcwU+Y1AAdOVInU/CDGpGXGUU4
vTIzXEkenplcJo9JDS5UA+ALC3rNukGFjmcY2AfwF5d6IeXQEQ29bWsAkDtovkltJWa+nUvlXiTp
KR60Q0r4UhpvVsdxIJuhtx7OY3JPQ2QbeQl8oaL+8rrRJD+1MHDqiC0EBDN3tC4rGFlGEVDXkI6a
qFeSMFPbASU4HQPsWlyvOOsWPOFM0HEhY2KWKSpooZRAhlwD3pGgOS2yuvbJlITNmoWzP79w3/pM
tguPgQSzTJAF2CM7RItvKCLQRD8b0d88u88WbuJj4E/TSDFlsc58nLeS7Uld/bh+pGbXDbcUoidM
N4DM6nJvPF7HmCOGCOpXhS1aowR1UHXPdGRnQil49M1kiQpu1hzORE5OcTCIvinCcaui7s4z5X2S
FwsvgbkrQ5c1gG1giBFpyekkWkEbuPyoxjNK6TccvcVcBstPWISGI5nsrfKwmHoZ/BqAP2AprQam
cZoj/RP4uNaaAWntSq6t1l+aIZpdbkxU6yqGAwykzy+Xu4vNUogOt0YSm+BqjR2zTDFDVFBiAXGo
sEguBvf6Dv8/a/FfmdOSqOHRTFLAV75O5JVfn3SULT15pSq7JrnX00+RvRftiaERSHqLw30fyKuo
2V7/hlnHDYcqI8Qz0YQ0sTK8ToqUx+NliSFtKw/BfAKIpraIFq7A2eXV0d5GVeDwosh8uby07AKj
6ARMCxiRTD8S9UbQaKUXG0zpW3+j07esyeFUELjHlDV45hBMoebckou3MFqSMquRoYw3Ovi9/yAl
4YOZKYxDo6IWL2BNeMy93JFq30W+6NiIYSnYmpc3DsojaMVA+2SnDK5FIh4KsdZIZSepannRT9JQ
ewAgZNMtTTOg8xA7MglgAY7wLW/iDCpTrsuigH7EyXfU1W/EJl7pLrV1PH1d2e7vkQPX1/Q+s3XZ
0lfdOgMoZWxFN7GVYxjZiu1gJb1Et/opvwmBmu7g7ZU9lPdjZ6qluMwyXP0tX1MX/VOZVW2Sfbcn
Di5TwyY3zOKbqMSUpY0MtAnUIfygdk+31V5x0l39lWPQ02kd3TGP5ZO30q3i6K+bDTk2eCpZ3ZHe
B+/Zjh+zJw3w/90b3QR3YW+1Lz1AhZAnrN61W/Eib6L77F489AfdYVvpWdv1p3DbrXNmBTfFdnjp
tvkPdmNukzv5KDmV3SL9+GI8BDfkk7rJfrB1x3fBEbRqDsnDwRSW+RGtjL1uk1fpkNkqFkcB+fAX
arJxb0sndeMdNQdtkWKX/xD7fgvSknt9H921W/71F6eA4eLAEBko+6YTV2GIicg8q8SaGZGDaUUr
yh6KKl1dlzJ7ZZxJmZy1spXlIEhw1lihb5VcPYSZt9QSPmf5eKuhVibjoQGg40vfUTV4p4bReKvj
EaXn60hJQLndOGmwTvt+wSHOKYSBQrxBUchiOGqXwgza5LFZwSG2IMO0vSIVtqksLNqsQhhBw2MX
T94/QLWYaYRShesGXaWBlYM8FH0qBnao957CTF/wvHMenihUGWETkcb/ndQ6C827rEEMG3LU5RR+
aFiLnrL6Fs/fhXWbFzO2koElUsbNfrlushK3/sBysW7UX6wG0Q499eXLdWObQQjDxmDG9z9CJpYQ
Ug8xES0Rjgt5V2uKsAIvuekKU7XkPPPcknd0IwIUvz213Oeacj/UJnH0WmQbUwWjTdPA+xCSfBZR
fkNIe2jCfmFz554MRDEp5hxNPE+mAY5nKhh8HxDgZBTerJAtP8k2wIgyFHmVoOOeZPfXV2XWmjDX
NMLBAUBs+rpkNQj/Ej5ucAUY8EhyE62wJFlzh+KAiY2Fy3VuzkAHhBnyNHiCoeFx8mbIglaOmyJD
al+gqYGJbBVxEI2oiWLxzn8Owx4PJckylWKXyGBrMrvmvpeWyLp/54Om1xPBExCIXSiLImF0aW/D
gMNbg9R+PejApkH/qXYLhpzHngLcPU/yU5CL4xD0vt1LNLZCw4xAlKqsIilcRYbvSH6FGpJ2grFs
e7IU2c06ESDa4MgxBWYwbtnZmfNrZLgMNcDdGbFXD1MYABNbCKSXREz8lDpUKJ2j3R7hgFRbmKN7
T/IlqtR5GVBAQ/OAoajjc+tMDSjAAPkMGSV5L6p7eamk8rvD9I9NHFfo/wRM1knOlAIldQlUJK+Z
YksbzdJu2V1wEkek/46haxyTffFLfj2wT88H+nXv5A63TcdceAfPOi8G+k288FEymt4weoqSd0PG
/Ur5py/Ep07CF7Vq/yaGA3cvLmTgcCBtPdGXxJEEdOGcr1vJt4n0oRPflsSXia47FizNLsx6yzNp
vzs2zrYPAx96msuQ9hxbxqf0+u7vg5Xmeo/C4ZZ3TNx8K053S5OBc2uJBiSk4NBKOLa3XBpNbzYZ
WlZ1vgbyoM3rX6n20y+XLrU5ywQmFTA+cdmg23Ny+rXIqADXR/m6ofeR9yIp5YKbm9XiTAC91EKJ
8cL3klGAeOTBbdisC+nrut9eEjG5MRmpciOpISLP97X/a5Ax+L4wwjQvAridCkgfwMs0cRKSEg+E
GwNHwedkFremutO9p+tajO/i6RFGxh43HgA4AKE59RElbwelaTkwLTjAtR4H80YUT0N8lxJhd+pN
GS3RXswqdSZxcohSEQGim3RwGqVsqYnsBEj0oKNq4R6fNTG4AhWZP4AHTuNnLQJRA3rs+NpELsnk
lZ2TwLm+drOaYDBiZPRDn8n0DpOHNC+8HiLIcArAo8pIh0IcXzBlYo6nYbpHCPzQ4g+kJPCNTk6L
r+Eo+iHMAG64sxJz+DU0aAIr6WBJKF+2+uB2dLgtvM7iUWiZemmz/iFpH1tCn9Psg9SqUxYaGhZz
24zu1MjfGJIMlLOdnhYfmnZLtQ+NhitCJSfmuuO11G4osINZ0GF0Rd6UkoZcTukQrXMknj5JIOlR
gzuBFlyZ9WMp7NBjhE/J+L5t0XRPmp3XPRWV/OwbA0C+wZUblSBkphHApECcljV2y38YdfikD6Hd
gRJUVaGY8p52q8HPrRZj0QP1Xr1Gcqsy2Aq5cIviRxk+D92PiLFVEyq2HCnPvgeQPvbcxwZSEQgi
QXkXZneS8GwQEdgUwX+YgrxKkV9ol9kk7Y4G2Fw45tsqPXpJk9yKzGDNSrQdKMaqU6X1gFKNMLSt
TCs3lvwv5MNvg+zFAKxoGX4AXtkeyu1g/KokH1QOmdMCpxqDtY5eevj9UYa5yegD8StbisM7QdAj
dQob9KkVbyUrD5L4SYAs58lAmuGPpte7JGQ2OnLtJsAljfeEJpxcDcEDv8X42rot+XPTmjb14QFe
8ra76SO+lSJg2+t3qfaWIaVk0NtE+zLlOxJ3lhZyV+BkER7YMW9s0dyF8VvjpW5QEjeRqC0bH4jH
LBP9fDkYTMouBmAVdTE/4VBMJgzlZyV/1FVhNUqMvNlzMUA90rvjTGqpCStNTi1AmcPqJuiY6/v1
nvLAEfw5bTaGUFZAN3sVHcj6jLtGuW8lbdWWzYHKlWKVBpp9mo7fpIQ9Xj+Mo9v445CYyIPoBD1O
f6T6hebLXZ/XfG2wW5E/kAEjMfIukaCG9BdDwTpgSPCUxeNPp8boe85uZkNum5AroGCDTivQy1kl
iTYDeef+YsRxqRacvoZUq4pwHSzDoFucFnLNPlD7dnwdGH4M4JXSaxyNFanLMu2hLXXP6hWtRBVZ
b9CEp3dPtUBFWsnCHc+DwpYLFO69PFkbnq5ardS+AJ0htuqwuav64hQUKgAu89rSvOquywDxjv69
tGsDlNKQR+RqixdCkAMSu65PuYlnWq8WI9Vnc8uR/YvUfnA1E3xgctGkFmPZStXQk4+xnS884JTN
IEDrovQx6OY7bZ9UFFRHueEoXryLjOFDU3pYfszWZuV1duL1phVzj+4HpWqstshuwlR3O7N5GgwZ
bamm5ihV/5FmnmnlJlxSVtF9rNeNg7jsMMT8I8zTo1n5IKni8I+Cef7K6wZwV3UJsUSu3RMmdiRn
SF82u4DGxyryFro9UTmdMURTZhiKkhU8Cn+HdWfGISsYgU9JxdeCeCs8eN3IAHKUH9wYPfxg7Dlh
7TukVNapGm5SZXATfbhVjAafWmwjKuAb2IOn1qmre90qq9RVbAQb5kmx5aXGTqujlRSyHxoBiNlg
uDCaE5p33byJA6tO1A2HO4gAxdPX6gEZ4w1Lkl1gepvI4Fug+cO5outOE26M1LhGk08merdq/Y1c
FxmaA/zDEBWneqg2QHQOdgXwKjdJ1P0YWgm3R4999nWyoUr7s5WR8Jb0znPxyiMWIPxDSx5vWp7j
HDSFZpwwtPaUSjGQR4JdpQ6t1dURmniNIXJrddj0KXmkLf9idUutIfR+kjy76bziZ9Kkr7zKT0mW
24D9WBlt+uoPyBCkNW6eXtMsv+IfZiPANuMrL4IFDlHCj6DXvvxMdsok2Muq/qmH5oZwz6n02lGl
EVzOY4HlMx2dUt5oFZ/mUG60MPu87ovmYo9zExiDrjMTyKouC/gAE+iVR7l5lMjr9d9XZgUAvZHC
ByF2m87FVWUCPyg4B+wzLvwQU3g7A90GkscsQWunDXAxZXzVtbgqwUPXR/RgGN5Gwv+R+NX/kPZd
y5Hj2LY/dBlBArSvtGllUl4vDFVJBYIGtKD7+ruyp+9picorRs+Jmumel6mdINzG3stsKVae0ZAN
Smgn0lQ7KJnfgI2wo8Vwl5fmzq7jnRRsi9PctZgSdt10Mw91oAA2mjjaXoPvtdlCQr6yH2exZgWx
OrpFTlqWED7PaI18x238vR5BRcKHz5s/+mrQwhmn9ArPCCyvPDzBHBW1C1+LGvcNus2bzbRh4a3j
r5rmXMqTQbP8ny++yFopaZgcoQkEW9Y2AM97UwR5WERW0PooXuOP4ZUh93PvfY1E8Ve7eHmzfQ69
eAVkM4C7Ep4mkbPpfHNn3uZb5TdDkToLxk28zSLFs67IVr2WMIklbn/7UIGe7f0Z9or/87q7lPB+
+iXLZ5s92zR3GnwES579Oj8aIFjsNXnni0AI9Oot1AnPqonLVl4CMmjc4SaKSpkzsLC6t76GIo9V
PlmcSZfK+hdoCJUrq/ZJVuS/eZui/HfG6lMk3cu9ReXQY/fic1d2AThYDbdhHNg/f8hLogHAasKX
C/8BHZEs3qejmWZl4eRNNBZwm2hNCOBZxqbKYT6NxrGX8erGtuCPNDdXtBSbxFa6lQLUeRMtVpWt
gWoEYOW50LUUVMIOi0tGpzoSsLzo4KrVcgu1zoMmZfDzYNcinQ+zT6chcEdFXGSIhAQFXh56gdyR
tMhMkbIFahyv9r4u7NUvQzsv408B24lkw4iyYgTYEPOu6cZ5UqvwHi0sJ3C7wIKuAMjEpqfus7B6
qNfE3S5B4T/HX05ujnaeksaI/3ys3eP19f12dt3o43R4OgTBHRwyE9f7c4uqzs/f+S+41nJKdTx4
UUrWzw2DRekmQe+xm8hYw3lmDJFV7W3vcXBj77Fwj3jVeEYUfVy/8mB03dPgRx/A3bsfPbib0fgI
tz/3RfMASHQ3g7tmB3mplgVxG3RZVaCUbTzHv04JUfMzKR8/LXP3j/vRf33dMjQQn56udo23WfkO
FzIwJM4EIvtnwR4QyL8Gsyi+fdEi2BwWrh4Rr3aJNwSjr/m/Er/37t4qN3Xd0YWTjHt/+niag7fG
fQnubit39H6D0OTu7jbva/zmS/vg889aZAUKN+MUC7NG9fCprg6J+Vz8NtKV/PPCEf157Es5BVI3
TplNCMKMZzsjXqq+Dtqvnz/wpQv6S5DF6TUrWeoMsaxhC0siGfTbX6YHfKQf+x+F17uuqbjlQ9S7
OTTMVDcJdmkwuX8gmervslBEtzjEtz//pAsJ0ZdftCjGJebA4oIPdRS3h17R3ZqtNU7+2rXfdtc/
q2ppQZuZiZyYhS+LXGTyflnuc4kFpAccGwjq2d7Tf7KAtyRw/MefR6etLB1ncaLZcK9zsr6vo/HZ
CbMd/v1LHssHaG2GOlQjQ+KaG3NVw5SuLabzz/p0kNIWz99RQ9j4iEM7vjWgMYEJ3s07cmPf9Ptu
Y2+NQDtVGx45HotMyOVat+jKP5gnKM3jFVDvjW29ka66cbZrVf9LArZfJn1xqHSzHvd4fUO1924O
sz3SITeL4pvsiF+3jYLdHQuT1/6V7OVmTbp25dMAuPn10xRm1kHlA7H3ONEGz3JNr8V/NTf3UeDy
FW90ocXjzkhXlUD6qYt9gD+bB2XXRbgAJrfdvN/+vEx+ni6ggr7+JnPsJq7OWKF8wrlX/KKahGXg
St5Azqfn/38f4JH7NUo8WAOkSzFystM9zaehFcpIwzhPyonVrg4nE2z25qGKUteL9ymG+m4GfwBf
jX4e7qVr/p/zFOCCrz8kp0WfMg3DVfFCaPEmMP3KfVgjtl2+Vf9n3+PF/DVMoYsY7eL/7Pvj5L2/
759fC/f5WfWuw3D7iueXa/u4RoV7eHkLcvc3/nW4urvb+O+7lQm+fI3+81v+Sp0/bchJVxSzpfgt
jf94XSMytJ7w5zR6JuLbLnFv280KVvJSq/bTNkPl/usHoDoDMOEclLrnVxjxdO/08dv0I+FSD/mC
XIt4aR0bVNfAOjGJBkm1rwHJZChw0EPAlmZh3B9kOm66jHs/L59LZyq4zjp6XcCJgEn8NYpZMsvq
RqxjO4O2Nemd23Is8gAqsBvR07WcBH/ZctOcWfcYFnAF37pqc1N0cYKXSxQnHHslHTLXKdceqZZ1
YUs4gAIipUd739KXY8phbjn3bYIHmlCa7RBrWUCGcUKBnxxtbmjBnDRPpRRb3YC/c2E6zOu4PEzM
uUIvXLh1pT+Tfnrs+yLkGX1MFGGgcm1t8fDzM6PhbgU7q7uaK1YUjxkSRRj1uTFtYM8HlH7jS5b3
rt1Dv6K31T9krGZIydXtCyMa2BEcFz9qhyI38lcn7XrHTfVedQvF+d229Ske7crlpQG0dKwFKRF/
Yk0+8ay+n9Bqg2YcYmE4ME+eKsVLpno/WuDnmIB+ERKqDXuYctzGaAQ0OROoXJC3ToDDFffGLu5M
ELB/t+OvuL7JzfFOiLfKaTy14UGBngW15k3eIInRwQxPfwP64xvkVMXxTTUq247QYzsXqJUDQW5A
GbogfjPIK53t55S6Y4z3BGlcYt7DLGMnEryO1cTnxp2pPFuV3MXkVerwQq/RyR1mXAuT9c7a1875
VZPqqR8K5sObyjXs267ZiuSDjb9MnlboWdXAXMNVpdBe5+6FjdxPBH1OObtq0t6lI6QAsuFEORYx
LEbtqzL9gGZF2PUg06dwHdXS2R/n/Vjrp6pxVE/ObYfKPQuLpvpIRe7qRrOprKcG/6dR035r4/uM
LxJruMqE5jv6O3CSbsa0sJhs30DLIJlmaBi9dcaNBbbTMIw+Md9hAHeTSoSDMBNoLTiXUsUFL9HP
q+Gum2xXmRWPonOSxcKvaxrm3eDPrPLGBr9bd+Zj7TShTSCT5sz2SW/RX5gd9WglXahW6l2mDxrK
+e21VbHfcdPeDGK6tgiPSrSqahuyNA1/aqdbh3AgjHVI1CXDZqBTVKiqlwMslc/q1rDTHVFhT8MT
b4LL1zhZB7BC3zX00epxp0zMTXpxUzn96DmFcigmFnLDeG6zG1W/niwjdGLnvp+7/WTaLhSrXMtu
Tjw3UV9kjdtOzu+RnGwO3oziBOSs+de1IdF0vwItcJqk68AZGyXPeqRogpgBwwRxp3sA3jbqGxV4
1+RoFMpGLctAxNkhsdh7m7TbpMi3HefbqpZXscq2OTralaZ5rMW5L6qHIR4ORYVyvp5epfNB2PWL
XoCPZpTxfI+OyWOdGO9lXTMv18cdi3vQjeAwlt0N3A709lepOa+ZmoYonbt2Re4my74D9G0r2O+z
pK42MChh556I83B2NNjCz57e1QfJp81oZttOLQ+864MYGB5ZNHs+VKEQ7R4osA7iL5h0MvkWbcJZ
yGDqGfXZEEN+ZOob31Eax6Mmf+sdZJg4bcz8OFRA/AxEOTDpZC5F0QldsE69Tawk2VRwMgi400wQ
G+86txYQH1KIEWpNdxU39VE30gh8oAwGRLkGTomu7NlEA0EnnCzmJpVaOJtZCFUzmMi1fj/PO7Mx
NgqPj5qN40lHp45DjECHW7vBHss023cVCzWr8nniwDug3yo2xNrtbNsa6ka1a6+fioCrEG1Viocx
a0PokFxriebbKjgnsX7IWQHTGdNj8RAqM3uIu/4e2u8eBXNRxVDh0+NWVhzKKdnqw5NWztEEpg9O
OjdLH0Q9umDwu7ryAaiQK+o70+q9NGfuDPq3qvXRnGVenA5+YZQQEgLCpk8fdFqHfcH3WmmGqpJc
C5UE7VAfpyoOSQpnq1jHGGGVOIDg1vtCLTesi2ElY8SPTl+GhRYnriaN66y30IsZccQWWcTjCi8N
br4oVanh223pBELWaLdghfUbo4ThMcmsDD2hYQzKwoDvYmk8tJTvWjb1PjWtYxxXR5GS45zR23GY
ruYUoGPe7STEWl02q1BwAalAVyHrQ8fZcWPuPHRx+ZDA/t1rnErzBwpNiCSfN4TUaH47zi7NptvY
wozrZh8JUJk8VCDw9nSs+5oNYWwBvuygE87rO5ZU3B1r6zgS5XVMoGMGgR+KVUpfG6N66FJ5PWk6
HDfoJqnRm3YGnHNMEBebKugn42TpPOJjuydQMXF1OU6hLJ0Xmc6TJ5UEHmU6bp50JC8z9AZdp+N3
lWO+ZJX21JVAX8fFIzEldcseV4HK0MdDj7fU6RNLkziEJBkggLo5g9o/zh5u886XXXdrUog7Arf5
20Z3THdE68rMCPE4Q+pp9FeDme/0tuhODA4N7jxnT7WOBGMws/cWBuuz3R3UViS+TnN0v6zMnZki
/XYogAI30HLu+SDxD+sFp+UpH+x7kWi3ghubGb5UXqwox4wZV/CRs4Kzoq7Hqx4EfUAjhcgfCjN/
iW3CfbXHeVllyZOVNy+kQZeg4I5XOfWrBqasNlVoObEcHvMGL111GIKCob2QKPGfMqsAPEigiMJN
VuM81x94gc3BE8UCyoE/sQFG4XrfaL7UnTFqMokrOIlLtIOUwJoouvriSRnpk9DAgNeBq3PnvN7l
tl0dZ6lKbyAZNHpoXfhgPKNhX3Aa4B0D6r+Yc7fSZIDnPYXhPT7e7Ja6bD1NEkfDU45oMEbRxIwv
X1o4DUmPmf+DJilvNtnYdwNshITaBkRRt8kkPHWsXnoTQO1Y3FjnJZBnauigi+ZZBcF8FboeiVgh
bsMa3zbBsksSx4r6wdDDlCfEnwocylDmRmcrTkKzL7pgYNCqa3h1q09sJ2rlDxfz1misXS+Ma23I
3+GBGAI+7PWDtlOYeBFozswyvwa09NCmYusQuYn18bmCCLhrT/EdvF/BwjFxt7MMWgiG2T1p/XCf
kBqmhHUkce9aXXEoJDuU84DcCr1EJx1u5rZ/sfF5fIUjyZk78cJLddioSr4hU3ar5ulGS5oHc0j2
Tlbu9ASsFJO2sDk05/jsqVeiT0j3fYeb3lSGV7utiBfHOCnSWrnuGztCUgJ2LegljQiII+Dhmvta
bD7OMb9VB6hdo8GKPqOJeTJYf+XE+aFWKXxJwEAqFBv5rnlVGgwUcMPrMxpxKaJCI095bMHCiHvG
lAGlXW9LUt8zo7iZ+ikcSuNJc4B5kv20T5xxLw1djUpVAYYk5fdQPQxNmuyp2mA+7Wb2xqFGt1Xp
DDsqOglNn0k8IrV+IHLE+pPztYRepdfPuIQVKi2PVsgpFLM60TIF4CaTx0Sj144jd2Cqb/IpOWF1
G5BXqI9z4hgugdiCm2t56kuVSt+RKTs6NnZJZ3ESzEWPE7Azrpquv0na6tqycIbVafqsZ20Qs/GJ
OrUvrOFQJvox17oN79tQQrARZWPVbcr2OLDpIzax/os0ebRidm02YGtnkEQqGxKUrLzr6+qoSCQY
sxbYgwYSY+prUG7Su/Q+q8r7Mul+1X+ZwQjY8DlEgG8BBpiv6wBJy7QSEa1jZZvwQj9myCiuzFST
O7wM1MCJx/7WAG7hMDDzNiubuTm03Cw80P5N8Yw1gQ4/MkaInitjZbANdSy/a8noVlXxGve4G5qC
Gm5hoJIP4BwgKyrfJjnD88SubbfS8Y74149FR9PwdjsDFg2ypBVQYKRJLjSUVtrZS7TMh95cX1me
BJfh30TCQ9ugAKwBFA08Huzxlu6mguLOAEgc7KcBi9WyTulEaDjjFbGZdWOlhHLhpe2cDTzh5wt0
mWUvCnwQXuXEbE00gTo9KOgd7g2vjsOfR2Sc606Lx+/nKMvKqWHkelszRDHygfljS3ciH7emInwn
ricommXNsVOhOtbBGXrSpI+1N4QsdnAZ8uQgWvhC1Ra/LhhyEXjo5i6SxbBUbVgPxV5d1FfncxFi
HLtWoccZHjq6Qq97a74b8ua2HYenkc9+YwPNUs6th+TizVaKJ/TnPDvuPTZORzsWSKhGsGgLQOP7
tLHcLpke5rkELN16dXjt5zlu/ZiAXQgmoQXfI9oDjKt1VzYT+kp/8Os7/q9FANQP2p8EXtbf1RRm
kyrxWIAooRZ/LPHaQS5JGeEHRlpYHskwBzFquF+ZpS+T9D3koppWpw01kxpAo17okCW4A5rDQ06w
so++LrjvURbFNEGKnACbCy6QdtCVPx0FjQyX7c9DWXSQv0X5Szn5U5kMt1cdF9DzjSiporqTflxC
f5d6Fs+iqXtOylOX7c6X3/8y7qJSphUAhHOJaZtT2GEhzdYL6VkNhbuvcKeBuYP9bDiPSiJWRvy1
lvX3gIEUs9BZQ8FsyarnJFUaqoGRBNAJ951sjpwK4IRGPiSUr4Dtz3Wxf3bz91iLMwOGE1aZFCCm
zRwkxvzGRN5WnbWmASxj9b9zV/grGgWRHoxeaB+q36RtkwzsfTsFQU0hsJNO7mJcfbq6Jot5Yb99
ibJoUUN5qICNOkg/jexemTPdE6v8mLLybZ4n4AiT4Q4uorsqdd5+XjEXtgMIC0DxwAsTOOIlGadh
I3GAnYPugpJ6I3P81vxAVr9ymlxYHV+inM/nT9sBN6TVps0I2pWOenH70NgUV3jtIS1aaQ5cHI8F
B0cDa9Cwlop5g94pkH+lYN/1ZZBbiYdq8qE2/hUs/u818SnKYgXOZm1UVYcrEiJFG/zvjZrTm6Ey
w58n5zzpi4UO3D2UFcCdgf/0UjgPEv59MiQmlt4M6RN79k19bWbWQixmhivZiM44vtcsUZB8dwBX
+HkMlyYEUBYNAA9A1JEufJ16oZU8Gy2oes6TBv2qeVfCLkcDvPLnMAsmEKbkbBejGboJBK59do75
GqeBD6BZWDCNkTuAPHdiW20BIbutI9gr7vUtvao2VTB6U2jsCHi4+S7diSPMPm9+/h3fvuf5Z8AH
1TbOpwUse77+jHKC2Z31l9td/2sWf/R2pRfy7XMu/v7FJSnVsRAzKSDaLAfX7Es3BmCnQB3852Gs
hVl8zaQorFqO0M2tUE135kNVTC5kN/93UZa3pNlWbUo4olj6e51ZwN7e1+0ae2HRNv97ZfwzJUsF
RmSfhNEUUcqgDjp/CBxXO0CUYV943cYKasDn0DD0zbDxyGZyHX9NZPDymoCKs4ozFprs54/96fTj
6TRKlMqg1StueuXFqf+77/hPgMVxlBfI6BMbIzSq3tOlDSt0/lSSmK3M16Lf/f8+5T+BFqs75VJW
pYA8dHKwwX9PbqywCMC9T8JuH4fN5nfy1O/6gAb90WauGL145TRZwNb+/gWQhAOQByIGxlJPB1Z/
tV4X8CoDFsEFmIukJVgXVR7icRoJNBqa1nrIoFwF28mAlWu4+/P2+nIiY/tpmEE0uCBr+M2aamg6
UtQq9LjAvHG5yI+zDfX5BpwCoer7ssqe5bg2uxe/+qegS1RVx+KyQTkbR5vXYPnGkRqce/1YwFEG
1IMW6c9vfYRO0ga1ssDwfz4Kvt3dX4f8zcWqhvpVdnbiLmXlC/J7alGW68Kxs1dW16K3/J+51cBq
Jyog46BMLfYJmePaRGkHYmcoapjufKhv87t4a97E4RCKt/Q0Hard/NBe57dr6iIXB/kp9GIHpbAx
EWM6QnI/3RjZSR+hBMxzP86b4Oeveeks+DzGxQ5KzLpuxmaAGyryrc65S8m/TU3O0/VpJMsLwsh7
sCfxERkDiQIucW27jec1xdnVuVpcEHVMclC34Ac/RZPHryYURLZtdJ+GzV4H6qp6A4N/96Du1yBs
6I5f2oLAqwIha9vGN6+penSytK+wHq2sGCPdmnSvlkVxhCqjlw7ST3Jx65gU8qpjem+kuuVCAn70
jGyk/jDIbR47O5D2PdY3r4RCGanR5nc+iFezLjqPt7YSFGoTu3oqD0jZUQ2FIV570xO2ayjgLJ2N
KlQcCDV/08xpI0UFylaOb00haywzNKKJXtGdKSBWgoPJTSs1SjuBdz2Vqsc77XZM24fqTLrOOuBC
FZV6re3ctJnxHkO601WNQQn0jo2uLYFynhL0+SAxLnYluAK7uVN+d6MW71Bun/0WzQDbYSfTtH73
6MCB3oFWiKbuZkvetY1+MtDGc5nYOzm8nx0BMas485UxfQA0OJr7HK6C434+E8HMNOjLKqw1dJNb
ZgEdkL5MtdgqVbJD6/XcmQBrAfj0Xaoj7Ui4pxTKlUpJ2GUQO9dehEP2aoYDKElAzBFb8GECXS1c
0hQhTYxNrKheh6JpahV7lIE9GyM0m3kjMgXt6ASKmjkUMmffMOO9kYINVkbZEFBopKqGhE2oEvad
csj4BHPCGt8/fm7pgP7R+NwX20J9bGclUFnqTW1xBQVEXyT0qSz116yEOIxmhV2ThVqreAQlSmYq
Xm9CMAM3hDHSTZs9j9lHgvZufqM2z0SwZ44VPCmFKxS0uY1NYYGgwlMocA97o6ue0X14IuDkTfq8
BcjgEJv9o6PXJ3hSHy0FCyCvzF8jnU+aOWwc+kdliW/Gd7WTR3mHrLT4yNUExBp21RndLhaPMjPd
MYf9hj4FqQIgrEncCuX7Gk1GUsotbRPwFh30HphbtZ0PvEJILOvMtoTyWgPleZP7unpVqKZbDnmQ
oLcz8crTWRrq2ZucbswaNXXr7CvLdyqc7yqUKyGB4JVpHCqWFXS88RrKfIBewCJFMdZQt5AT2XXc
Rhu/CKeU7fs42zfZh0TGOctftfrgZAc75sGEepjsnloJ6yfnowPuoB9cY8BCAUvIphPYHfahsV/a
SUQWAVkk5bt0tj1VS9xKncD74hG811wLfSZ1yKOG3MvhaoQARf9UWEg+UZDN8VeMw7NAPZhwC11P
xW3b1p9AgDTGwrXwgYiA+Dd/SmCsNscJqIfcy6zbAazMtr2PyzmcbUBx0fJoMwGi4uSyCldqgYZu
LbxymAEON92u/NUQAnpB6Sp9HxqZEQzODA12qNrXWcgLtLENew+zeL+Hlj8bWxflWT/tRQBaMfrt
3EszdDjBDSrwG1VQLHuYR6Vt67VlHSToehbZbUbVKFFB3EZve37v52vU/v0URmea9pA7rw2lvtH2
GHjush5F77exLDym9V5n1X4NbwOuG96As0GRNhTVE1QqYfOWTXAogH9Lzd5tIoFf0iBBBhNxI/Hq
nGxLpwSqhGLvFb+gGBt26NKVeACiu2h5Q28FhI1b0A0PUA3dQk3d1xwZ2fnH4HQ3lQA5ted+r5+Z
vLAm8cDIwnFF9BAVO3DD2kZ6fO5eacs2ktaDR0X/CJLBCf0GaBaN08swweFDHcp7tXI+KiJxdVA6
o1HFhTtY1tZkxoGhfO/nPdQ05zz7aKbWcpMKhxbLMS69TcPShkDQmDsiYGTaKb3ckrL++D9MA6SC
nx2F9UTd5mMa0i7bDmT00zTZd+gk55kesDMEBUXMBj27atLCqhuvUpnf1S0U/POEbAc5+FAbjBzB
tzkRsAupvMmiQQvoUQPCcp/ZLqjQ3DXje8nUA9KGB3SbD1XJQ5ZAAhvZOJh/qbxqNfM9T5qbuQZU
oDI86HwDMGH7ZWp78B19UZrzXBQBqmoBsVDlqZsSHquCBUk24koY/ULaQ8hN/GpYT7hFa44rKdel
tMcwUN3SYDGA5/MiG+kbPXZKjUmorNeQGgmnrtxmQ41l7qxEOv9Ny8QZ0v8IAuwZSjOLSDFIukSk
iASZnc3Ar8Y6BrH7NJu/mn7NIeJSjgWvEkRCAR3SLos8EmgQQ5qYAZQc0FJi/MxUb+UayePSU+Bz
lEXKWLHq7yh6dypmwKqgImOfxZgp8YA58ab8+d+njvh0ePegK0OcJQl/6mmJGlEmo8yCvvMAoFp+
+jkCoRdmSdMJwMQoXqjfvlzRNMRoVKTBIPQeQMEHgP4lfcZ2gTT1PtuVXoRrBlcUdxnyq0Br3Q4g
gk0VOduff8mlKdT0cyUF3CSo8Z5/6KcnczMoKcO5iXx8vrZ56RnamlTleREsFyQKnyBJaihNfjOs
G3udWnqjIk+m056p7WHunNupXIMIXxoIIJ5Y9I4KWswSugo/rVx0YMVEY3wk8kV3VgC5F/9+SMHQ
c7kTzu6Ltc5HkHFkS5AN54dSv7GRC/w8EwuNyf+8yvRPERbrHP1eYJ1GRKAQ6xsCzT+j3Efvgwe4
raPmlvtr9qiXdtbniIuzwm6BMGwpIs4CglvprQ2UYG0/mvNdyligzWslygW/8fsQF2+mdETfVZsQ
UGyTG3sX7/geTgMPFBTLElSHFJQDiER4+u/JFyfgDFwD4EawDJD979UV+gzW4IWViTImTmM03vDh
F1MqOO4B1lD8GsbP+S2ahHE7dwCFdHloxY9GAsRGSrA9renGKoEX1MYNyh9g5NsCABaJq1b1IZq7
GbU8gozVRs/JYUj5KwOTGsblIEFDKrwexTGphwAIaB98+a2qc0+V3E87HrCCh2asQ0/kQ/7lGDlA
G2MMhMZ9OlDfGltwxhO8X1uvRg9aTOZ1z4UPAMcmT6DC1HW7OlN5qJ8RYmU7hSJRIl3q+0KSjd7q
oQKlw960g04Fai8pdknl7Fu1MbwOqv+uMJ3CUwwBFIjzx6zQei8MIOScwZ/GDlgMPLHm1AdD996e
uyti/0pG/cUUFhTTaDRW5mEsbFze8r5sYf4zEuQcxMg9gr9aw/lpD9YT01TgvFrhjchjqrLdJ4VI
vSIH3EfIP6PRmoEo1df+7NiMuHNcOq6oCp8SDigJcG6zynxTQRMP6NvO7pG1NbCDAhYUdJgUz7YB
dtKaNZ7OPqBD56BBBWa0QaDOf7L6JMoVY5va2n40+209C78F7obQ1Iu76r2ddXg0AasAXF1Yj0Dl
GPKopwOeAO8pwUuU70icut1URmNH4IOJzKWDr9RUbvlId834EvcvPM+vBRqM3Wjh9wLZMDjvxGbX
qOr6RVvddgkUD7KOw7pqWKvkXDpbwbWDWrlpwet2WXEV57d7Ih3UI3XixkCGZFl1ZpSuHE2XspfP
Yc4b6dMlQRWWFqRCGA0wKbsC3ge3fXYw9JUteXk4Zwc0kHFVsrQhtqp2blQAlCKdJ7dKo0BeJj0O
zr+zSfr7FPq07xcHrZ4DI1MBuAWhqNlTShJRbuxsscpuvni+nI8Wajo2SJqLu9XKlAbYVh0Hutmo
u6ZCqQTYqI1Vp28wAsABgf4047tE4H1BFHndWQNgELSbV6bvQkoIhgAKBNC507VvVxeaTpCTz0sZ
sfgu6W51rdl3yfl5ngSq8frzLXbhmrQsAxImcJLGLH4TMYGpN+mTXEY0fUgB8XSStYrYhUvrc4Rl
kdYoE2G2GiIgm9k2U/MhLee6q4pjPgzHWC0e57Op/c+jurAwv8RcdPvHJDdYpSLRrRJ5VLMm5LUG
TSFlpd++Fmaxz8aGO3EKyGPEC/lUzIZXtcNRTcRKa+vCdv4ymsW6hGaJVY4TwjRW4VcaZEGudQ51
Ijx5/4vPZiK/O3s6O9+OJ5bRBNlFhUClFdJBj2q72eSUrBwbF8djArAFdg9YYstjox+qcjbjVkZ6
5UCEJp9PwlK3BRB2ENpZGdLFWBbqvnAuxiNr+bxy4j5no9LJKDdi1C8qT3HKYO5St2LTf7PozjA0
WP2aZ6/nr6fuQKB8UOS1hNXvgIaEjnTM5njWDyKLfp6nS1sKM3TWbgEW6dtrxC5LrjiplJExOo+V
zHejzQ5gLpWerSmoYuHeE9aapBq9ENU+U8HRrIat5rfVwQH6qgoay8gxWOmXBYemWS5BJBkaMHqy
Xp7aFMnEJLTGSxT7ruuqgxDZ3lanF47isCxjb46VI57UO06cW11C/ZklV5qCCkKalm9qU0HAGpwQ
VweSSsxVSItiY5gmhI/6YDDkh2LXD2SuTRfKTyeqFzuRamg36RVavqV8EqYK6Gdrr3zuC2ekDRl3
yMkBjEe+raGE1qrSsaSH9+sDBJtGbQ2ddOEc+RJgkWarFHgySD70kYlsBTXSKygLR1BaWtl3a+NY
tCZiu0xRKVRQ/KoThKABlKdWQly4uj6PZCmMCSUkReQcISThd6QaXstU+4CmzRDoeX8oe7GCarmw
vb/EWxz0SHMmq5kRDxm/zmHJk2VbMOP80mr8n/fcxY9HIOjzf9k7r+XGkWxdv8pEXx/0hjcRe+aC
AEiQlHdV0g1CpVLBe4+n3x+qu6ckikc8PZcndsx0TGtkFjORyFy51m+wmeGtO9QeGWuA3EqBWmUV
Lkp21XntT7efhzg6GJyLgJiyKVJ1er+BCIYEkJx52kxJ7yYSoNouLPZqNF8JSXPiQR0fzq9YB0dX
EppDP7YJsVoA/HGovUD5/PsdN5Ne1L/Hc7Ah9nUVpoMe95vY6m/KoD7D5giYfRt4n8/b0bHQdP7p
wruAj97PW2k0NI905m2mWhopN/4pReCjD+ZXAOOAUW61RiK3YcZklZY9GFcTHdAy9zJfPnFaHd0I
KOuoKuLlyGMu33+TuJOSwryQGQnsypWJKJcWnQ/hKX+FY8NZlJ05ooDjYLv3PkoYFeNQU33ZpNF9
oexVOg2GvEmVE0vsQBrhZ94OXPpXnOW5vR0NAgVDIQLvMM/TBRCxm73aw1HgUlxLtmbTN/GQiT6x
IxybQnZpij4SOmv8531QE+kBUygrcBCKeYZBODfqZK2F/8mTQl0Zsb0lUeJf3odpLdCkgUAYRfvm
pyij30vdiezyWCuZGt+vGAfHQl5aJU0zYmiXw0N5J52JmpPsFa/1aje7i/fNXRyskq/6vttnJ1LO
Y83kd7EP3qkwF6wMxly7Ga4FT7pUN+ZG3UmITGAdjYzCIiayf01Xm5cNagqbbv3ypXJaYGTw9lZX
nM8w3mMPFUYKQdLjqQTy2Av/a2KgVb+ffCmqtG6QmBg4f3BGB+qxd59vKfKpEAfLSJAKgTZWvRR8
p528S26UNc0sJ19Hbr9Xv/er0qUDcWdtzLXqxTth23nI1Tmff4pTH+Jgk56mJioVTMY34nRf6k+d
dMpM9miABa+jiAaCz4eHmgJXI2kGwAqJDMN82EZAED8fwrGE4Cci6M8Iy170Zg+ARxulQUWEeOlj
qt/GnJZlXqzmamPEp7DCRze2N8M5eClNrSimcgTiMdMjio0fUVs5nNI1ZdLPR3Vs3pAfA4NKT1BH
jez9qPJRF2g2ArUoYwwBoIEZ0ildpuUFOyjDL95h/w6xfIQ3E5fLlWAoDWPpU3FFww6D97u4/KJr
38MG5umzLj1/PqZjk4eBkGRx8EjKB223xij1dFSWFkdU2aNWb0zlzOyhIGrp9vNIB0YHfxwMb0Ip
B+9vB5aksUqwPoL/rFaaHSrZxgwouOnl3g+f+5GS5ne5xP5GhfCuGKc21hNDVQ5ebl0LjTgXiA9S
D9rKmb+pbqIVLMxt/DCtH8eH+Tl1zf/gbF9kram1SBgbHboMTbkP2Fei4VEuPV0QBcEwrgPhlCPi
0aX5JszBoZFKHYTmnAZRVKdeIFLY6ZTbz5/fsSP27UgOzoaoaadBtBgJ6DC0ZePkvMu1bYJ+8edx
jg9Fl7nhwgpGyfv9K1Ckep6YFd2HVqPRBuokkV4+j7BMxoeXDHcuyBkokumG8j5C2gfyAAqWDSNG
pSatuUpeKcpj3j4bDepzpxKiZV19Fu7gnc7yui7LVGMJYLt2RWP5m7IxL/0XcR/uTskgHV3jb4Z2
MHlNkYW67FPM7OXW7oyLrsblrgd61T9+PofS0Z3qTaTlk7zZqeBw66OuEwmd884unqV1fDU8w0D/
EmxVp7Dz9RbaNUBi48dwCqV/bJQaGvz0Zqlgioc67+hHj34Et2FjzK3dd61tgJghTVK1889HeWyQ
bwMdHMWNEDT+tAwSyt4m7oQXkRZE1sjroESbUUjRCA+8KT3ZTD92fhoWDk2yiG8S3tLvJxcyqwKK
1uAdGG5zvOx63ZPRRi+q2I77wf18kMdm822wg0G2glZWwkShHTtOp5YAEVo0cKLavzXFevOfxKKK
tfhL48Z5sIlkppjVps7AjOK89O8DLLqNjcqwPg/z02Dk8J37Wc/8I86h6l4sIuMSlYxJutQuy7v0
sb/SvhgX80a9NVfjky/Yw4nr6LFNxUTeEOKQotDIOXjz9CJMDF8TyNqGwB0DASzUekg4Z9RHY4rt
tDuxNJe/dzjCt/EO3j9D7ynbZSBIYiy2M2pxDYr903ji0DwV5SC3qict0BMBPZd0ms6axtgZiYoO
a3RiWZwKc3B8qSyXoTbwDjDKx6DJKRpiFKCd4jp+fERYni0qlOgwAeo45A8pmtBZ8ZQB0dXLXdAH
TmeC7FOfBoT2pQkt9fCUPu8RfP77kAfvlhbpYa0l6bTRzdKOq0WGyHKKmsIldeJSmL5jirGxkhHK
ueCiw3BiUX7cR+ias4VwIbb430O2kdpE3JrafNoUiohhtHgxjslaTZ9UrfMoZp/Ijz/SPBfVLnyr
scCFIPgBizyZsuAnXTttJBTmx9ykfau4bQnmGIfuTAYlMLYPWj75XN9uf77x//XOvL7513/z9UtR
TnUUhO3Bl/+6KzL++9/L7/z7Z97/xr82r8XFc/baHP7Qu9/h7/4Z13lun9994eZt1E7XHUC7m9em
S9uffz94LZaf/H/95j9ef/6Vu6l8/edvz98zoABkT3X00rI8/vje9vs/fwNypCyWrm+2viXKnz+x
DOOfv909T9gbHf+t1+em/edvkPJ/5zpBZYTqCK0+7ha//WN4/etbS7+HPRLZYfaupYaWF3Ub/vM3
Rfxd4WBd4FUUwdEkZn9pim75lmz9rrM4YOLBS4CIh+DgX7Nw9ccO9ceDYVb+/PofeZddFVHeNv/8
7X26p6EnvSB1WKBoBkAnPTzqLH+e0hErPa8qxFeAuk43DC9vpuRIiPe7y18huIBAugPad9gNGmRM
J2qwlh7OGm5uSRuhxc5knv7WjvxnGHXp7+NsDbZh+RhvMiKxSBK1MwgTCcX3IJJ2YtLd4mX8t/bK
j2EONv48FSJZRJ0C/RBzXxfpOlHrswGNov9g0t6M5mBLrvE57IdkwOe+VM/LwL9W5hglmVPItvfJ
x8fRHCQEcpv7bWWMtdfJnT2Z5bpXxHNVoF4gNNzSPh/T++3wQ7DDG2iNdtfc4dvj6b6rYHCAdttq
jLfzqdvYwUb4MRDv9dulEBRqagwNk4e0DLnwlbq6iFe5/fdoiX+Gga2MAPsCGDgUZge5mJSD1NWe
GYm3ujq+hE1+OwTZ9efTdvT9+RXmcNpafIwg6hNm0vdG8XXWilU4nHh5jm4DGl09IJ0cIYeV1d5s
Wsm3KkxqxR5IEyY8mfv5KE5FOFjQqRHLxmzUtSclsATEKfa6qP3jFHp3CL3dzI4tMGzm0XpE8JtS
NHv32+euWl0DSIktYKpejGBwrFRYh2Nkp/m3Jnz8fDxHY1G+A3QrSR+rUVBHinSQitobUxqsKznw
EI2yEsc4pX1xbOJ0gDisL5oHH25bQWIsyKKYt0YRt6rQOHJXP3w+lmMrTMeDmaRM1VTpELbZ6sgp
x75feUYnXOsYZSRJfzV18/rzMAeX1j9eGC4dOlxJRiQf4l60CdsbKbIqD/G4Cwh1NhmZ6hbnCo6i
bnJl7Wa3CFfpuXHV7axH9Ac/j39kJikEGXRHgL5azOj75QFFDHcBqvueEfqoIMZ2rpyo4B8bIWI0
vPkwxeglHjZCsI0VlWacSy8sVvJOvMCoY22tccbY5Tgyx1+kp4QeQn9R0Yb5e8Ten7P7LvbBrodo
gxamE7H94SaNv4jhKYTbkWXyLsDB/FmxxiWrl0uvUM4n9NpyGYZAdvf5QzoaBISKCVMDlZzDvqJk
NKoq6H3paQP2yDjaeBBs7/Qo/PJ5nCPvr4UYPlho0ZJJSpbvv0kXBF3sAiOpS09HJXT4togodeaD
AlMq+P55pCPLjiBw3kwLIukHBSMrTiJdH5PSM7AaH8LY7gDGfh7i2GDehDjslaptIWmI6ZfoOULf
q5MV48q18qwJnjQogJ8HO/aE3gY7qI7oUhNw94hLD8ratpy+V0ayMfsTHcUjiQlvKMmxzNZnqodc
EDXi/lhbVuGForAWY5z9yvYx16tr9bSx6HsO5x8vzttYB0cTktmV3ORC4TVu8cNQ7IQ74iaFfOcI
EyJI28+n79hyeBvtIOXSlWkArhGWntIGWPKxT/gnXqHl8/6qTXwYz6GQQV1aI6avRAjPyOGa5/xW
DlzAAJvPB3Js0bGJcmhQaGR1L4/wzRsEBqFWSsMsPAUGV7aLfczMaZqszVPlpJ+XkI8D+hXp4AEJ
lQynSSLSSC8QDcLlHx6RfFU5wqZaZ87iMdC589q0cTizTzkOLZetjxMqQWdZyMyUpg9WfBA0w2SM
xNdW5Vm8hTS3mbGHdqzVpbLP16g3nF0mmNHqmA+JlwV8MBtzbHLOZ39Vr8rVdFav7n+Ytuac+mhH
F9OiVAZKSjGprrx/Bj1vCBmoxNJNym1bmY6ofvv8KR972y0K9SB0oYx86Lr5oU/baEYPdeGKDso1
VOF9ZJ1YsaeCLMN8s5TEMfTjDNi/hwDkqqxhO7KUNLw8Px/L0RfjzVgOZisKcknusBD2nCHZ1Y9W
7sDlxLP48ygSd85jCwbpTOzS6TlhJ/R+PP0wlgWe9IUnt0a86rtgX1kiejmhN2HAmOXTw9ggvIpA
rA1bEIldoTxTi9FFvhf79/LJ94WnNO/XQwWJNkHuTsxdfRzcQom81srvhhKub1LitGW+mGW/13y4
AGEICxbBXLMdvna99KQhZJnW5teuMHdJz6KNFG+QLW9S9U1SlmvkrWfzXo1VwouraIr2QWJd+XPg
CNJtVquQP8UM7ULJl+7zXssyWyzKGxnH0A3So9Lk1XrRRo9ta7VPqRlFF5mUQE/vgwD+fShMmfwo
jloWX6D2vivGhU5bzC9+iKbdiCPEEGwqS99ppfEwd0AKtKGHSJrZkw9XVxEUKBkFCVSgOYElt6sp
MFVvtOLXoYn6rSJP5IfoNYqtbmeK/i2bJ7fpOvScRDOzQz27HHv/ax9mrmWm0EXg8JoqrHgoEXLp
cm9HtvmuM9CPy9I9DO4NtCwX8b9VmeHRYiRnUy+vMwVd1TG7CAXaDkFvAwp1qiG+EUR1l0nZwxRX
pt2Mne9IYrGBmr2OTKgQal45Rm/ZvYbItpFHjpwm7Bxy6mh5gFAkHBipKh60pnjuZkAbva9fBpMp
cSua51WkzZf+3HlRJW6CKLwUihLRG1jF42DsREH3SsXalYH+SstzrXJTzzImHWpJL2E/2NMsMXNH
Dur7SsP0EMJsP0EuKeZthy5JMxrkB+PK0hAJ7Hu3HduXsVW9FqXQqSmdJMqcQc3sLniQYN2HqbDX
NRTUpNqdqsaeMuTrm+ZMQPNT6GEYtntI39BHovvKUFaZISBUrWwzI16LGQIHYf9l5BOL2ewh9+/F
6Oe1erHRmstmgNtS4x7Lys0CeZN1Dx0s/FSbXCOXXWAT9qD6bqeXawMr2qhja5OfYwQP54LKcTFQ
6PfdvrFsMRe2VmZdlV3uZtmXykBSdwzcCmmA2u9+qGDTuNbYhtWuhiL/ivLzeo6mfdfkGym4jSX/
i6+LzmwaeygPrtzJvEl1sCr0QLWjMXAy1BnGInQ7FJulaD4Lkwg9WoVHguY0lmgO2olbY0rsakAs
Mg93MrLHSl9gOJnvEj1xpG7+KlfmbpS086xGMT5UnS6qkTyv7RiFBT2O1r72tYrUe9HovQnt/kY5
LxH0LFGUk6rXtq3WnanZeY6P0FA6wzism6FYQ5fBaxiBBBOTlcG0wxHtm7jZYf/O1IdOLed2hsBj
pOfeOJQrU7hsRbRor8wKyx4tX2M++aibyCXkgjNW+Uo3sBFEYqnN1XMJBW05ns79OHSmdBEW7Vaq
md60MffdTvIUHza4+ZrVF+kQb4pwcBFRWUUGQKWqdiSkART9KkWftosu5e5rBEUTHXNvNAe75t+T
8lvQhLY6GW4x+HCqxbM0QkG3SbwEMXZeWreXC0evnyfkqoMRTYAwsGuzAgNtrmbTXynYPKNq6Kn9
rRky6yO9mOwRRRxX11g4JnbdsYyisLGrJt8pzbuoUZkiiPtatZ4LGojS/WLW61df0NFetdZrSsPK
CBVXHKatpOVnCvM+FuKq0r7l6JKDkbZNpj9gBUtFYA9Z7Wpa4AZ8Xr1MbFO8LqdtmOMCVIee1Iy7
Uq/Q4FZcTQ3toln08eOLLClY3aEt874PkbaK0GZtJmNbWleCgDXnJHMttVxzji4QoXLyEn3V+K5n
5wnq/kIOwrMpjrY9cuSYZ9lI1jq+X2zpDHhybLqzIJ1TPF5bYmGns+z6VbgurMmek3zDO76es1ez
uRMyC36+4KHo4Rq81sEgnPkyJOFZ3Uxis8HUwonVykvnAgPs2zwO7U65iZB/wN/CK1v+X3VTjGRj
gUrNQ+cfYT/ygnXVzJ3e5D2uOMcETJtxC4RpVQuSxynoSHDezeRLKhhe2PZOIAYbSbuRg/tClNbU
N9ht5V2lI2G/KBTEu0LRUeS1btpCdYANnFeRf5uJGYY+3aWAXkLK8HIIYyNcOtJqd0bMepSw4BnR
edaHc3yiAqRTalcay3WciFtfAFgmfg2w35DCHjHfbi1IklOnqjvMBnw/llxq2Rl0EsMoPDVD1LtV
7br8Ab7a9rm8+fLoAlq3hTHZB9KumNKdIPG4sS2k9HTfJymvj7QBRL+RShZv5w79a94ZD5GKSZWW
f1WNbl13SJ/wuoTVaM+jbpclKuJIQGtjjdgwj7Tls7WTXSryWSvoa18Z7TrTnFEzz/wEC+fM4gMw
3wbb4yisfF23TS05S/oRT+D4Qiie2/FWl6JzP0/cNpBRGbhLeYOrnkOQTbREXGZUOwd9Zs6JeS+o
FaoS47bIejesp7Mp3efTuOrzH8GETxMhDB7tnEDOEgeABck69l8lQb4qGtEF/ukVIsrvGB0E01et
+zKjk27NOxBbKOv3qxiZ21lmq/YTCJ4iirOJO0/f8X+BDx9s635fzdWlPBRnSS08KgECpXqzHszr
np05R27FmCvGit+u9EPQ7kadkzSD6Nm9hmVzpVXYoM6DPfdIP+g/uqHfoklnJ4W87dX5WpLGSxnn
80DJ9jBtUJnX151v7np0SIM0dfowcvG2djIFwYt68AIJZ1UzP59R6Vbbea00GLAXs1uanS2Kj6Ka
MtUo3abCxYhkiFV+78Zy5Y/FZY4RgZz1K2OMz0zdciWdIieo8qqSPLGBVDFcaoj9xhpwAlG4Dpre
zWNmo8JYRFZvoja8rIXQRoweFmriToVk+9qi2q05s5q6JY9SEShjT6x95H8oNtadhghF45TtDxS6
t7MVunFX2GFX2kqG+5ianatqsGk4GGK/sxddmzFWXCWRuXXma1JJe8SOWNLZeTtpxcnL4aFfWuyS
SsttJXoVR2TTpCs5IZdSVwmsVAGhc02mpVqZw6pGl8LivOvK29CAFIwjjapFK3SNn8KadLMNt3KL
7iuKBE0bnxnJyIsaJ7acyph0t3aIbnCAq32uxV8aVUAqJO72U9hAuepjL4NGGZGpquhaQg+4NBKL
tBdze0WLdpCMcoRgwEBpCLQXBXqh45k5VNtKCFo2kP6qsYTdgrhudBrNxWCc61l2FjUZz10Z1ug1
oRqQlI7Qtk6ZlfdlpHtZIntGHbpDfAnB1621eh9X0ZnIORYhFV+IrY29Swv7cEzDC0AWSOHfV41u
t7jG9/UFXJzbQZ6uoMms6pbNcJG78asVTRY8VlCxMWqfcxsFff8sMLCaaVMUiqw9ouhrrLW/qFwe
dYxmiiq0Izl3fHVe9dPkKmSqiH1fKfB4rSZYiRzzHeq9Rk62XrYOfUa31R6y8HFODDtEvLmezctB
RgMG9Y5Yu1axaenRPFoZluCkub/OrG1OWl3XPUnKTM5TrsVwukZTzy18/1kJHqXsKcq2RbocNSRv
8lSdTZiDpmO49q3yLIn3OUexUp4D/lwtGyt0mlXWp66kDSs23nhVKbmrUUYB3OhoA1uxjkG6PNcr
GakkbKj2sqJuEwvJrFYg+Q434ZyxNEJP7mNHmZN1Wv7QE8IZ5TaIrU1YVWtxEJwAfEccDKs8243N
5ODdus7Nel0rsdPkiO4F07cmMi9ntXGa5DkpTbsagzNIdusuXbYcxVZjeVXg0dJLrRNBBx4bGY9E
km7sV4RoJA+O9jrzzOXXEaMHTUeb24y3uZGtRlFlP4YzpSbbRNTuUrE/T3VpHQ7xgkp1lpReLfAC
6uGKxZwY1YzneZCsR21e56VyO2JGLDbhWRWJiNC/4tS40tT9lJhn7dycgUpYdTRIMUoZ2tFRi9RO
0nBTSfOtJT8CYTxXx84TmOpe1p2sJYfC+XpFr/AmN2UH0qKtJuGNIl/5PSnfrJ/jufuoCfPNkCab
ZGac3JIE2XCM4DmXBWyoOAN72c6m2NHSl4pNWRofaoXeXBc/iAJejqXECQwotR5tJWEB5rcBF+gQ
3r3wE1sTuQqarYZSOHl/PUbiptSjTRLKa1mML9oAtxLUlxXUSGa/tWMMjMuUXMDvXZUMtdRKhM5/
jAmMmLFyNfjxZVLdIsGE58RT6jebEKF/EVshixOpwtComW4iXiVtftSXjQIrrmLSnILboKEIV51p
eaG/iIJj+m3Oz74p3glWvpFJJy1cGGvI+q3arLM49sSW1xKy/yQg4GTU7gB1bqXFVx0m6WVOgmaS
CAmL+cVjoj4YpXU5YgUSccBlLPcS16N8RlEMmxc8lMAlbQeAHgGv+GBE552uv6q9ShHxC4L/azMX
r3pg+clFRW46IGSAfbOTWfMq6LTdIhFmpt+XofalvE7wiY8ZV/nUwnzJutVcf7eaBgkw3fGF2YOX
Z4/98zC+dmjGBZaHkc4G2BUJdbDCaGQ1WbpbaXiLFbPd4bSSUUkQe3VrDouaEiLvCDlN4ovo047n
Bezi8z56CNp8U6OJrIokn4Z6JweVU3Myq9IzfF4kE7id5qSvwndlMNweFac4mC6Mtr8yU9y66nAz
6ngsXEPZwh0p2ojaQyG1tiSXjlQomzmNzoq2cpFPcDsunzLH0lBnTjLPTl/IsOWfppTG+tx7ORd0
P/teMNwS/q1P4lEijZ/3JHqK2XALWYSTnnVI4ZWpPIBs+NKK+blapfZipRLVo9PL3+Kkx2QpZ2O4
qcZXqV3WvLiOhdc2n12xxHeseyGZWGsCkHX2cu5A+6jo1r7fc3Gvt9LMKdxnP8q0Zpng/R6RasXC
4mTE0062XfLdx6yIjBTjmL2GLFozyc5spG6N2PmivKVhpZe3glNQQTDHyym7G1OWorZsGdzvOMKp
az6IaXuBgdWDNgP6UyPdLpT5oghr7//kdeiXbS1X3phJnCCq00oUqFPJ+Vmz+hNH8ydI4wCwc/Dl
/5/4HZMe8H/9hY/5gN+5ivLXNH1uPiJ4lt/7C8Ej/07yhPQPnUvVhKhN2fAvBI/8uwlMFO62AaZS
Bcf/bwSPbP7ONzBNX9o+gLIWbNpfCB7jd53DHFVwuAZ0hIBh/vUJ3z2p4wieD7XThXdlijiWK5aK
Eiwf/G3tdJbFsVGtJPCMiU0RMfBNIUm3gz9evZmZP+O+ba4fjYPZEg1vE6WGw+6pbEapWRaWsMmN
raFvjKaCIXyKJXAqyEGlX41niv34pGwaRbzSsv5bn7ROnOsncJUfCsHLnP0ay6EOUrjo13aaIFCj
iCkmRK4uPYZUIHpu9/5WE0Pvb80dfqDMGZLjAHpAAqr6Ui9+U9+GCt9kEPME7FLQU5uoC3XttunU
E62lgz7FYjvKcgJkhrWmDDbhkOLhYxNaC7K1aebLcHzNxQ39zGQ6JS5x0HT4EOagHaKVQ4InIGEC
XJyK4KWsTzyeg87ShwAHSzpKC1Q5ebc2XT+v2n7XiWSKwmocTafuT2hxHKy4D7EOWg9anhkIjy5z
Rn02Idf1MbUSuet9vgJOzdnyMd6sgCxMyroVCSM2BcxfsrCT+uUHi/pwJAvQ8G2ItGrkfIIEs0E/
DB85fW8O8TalfOyEppSg4TJSR07Km/9gYOCfZAOACg4tB1EzS2gMqRWtjWw0O1kTfqSC8v3zEId4
rj9G9ibGweuDekxsxAWTZ8VPnRk4AWheAVWs8BZTJyfP8rU/v1Kw+zzs0ZXxJurBKsQENvILjZHV
Wfoo9/5urPRtJwfPn4c5+tK+CXOwAJUc3ZlSlKxNVj5k/qKUqq+S4YeEP8vngU6N52AJzoHf6Fz1
uEa1d1MmOmFByt6vPw8iHX1YtOwXb1/YPRxM75eh2BupMfa9hQVZiOBhP/YTunxBi8fp+L1vE4o7
nU69bUZM6Xya0vImT616pqTZB+tAUndlNku4nAqU3TNVsVud6rNExS9x1EZqLqoikB/0utF2ZZ2b
XhsJ4xPwEBrpSeG3875tRRH7vkBpzPPZKh5ypTvXxaleBTK13HQMbvWuJcfFZXNlyeGDqFeviHne
85Ff+j59NAV82mNB3QZUBR0h1K60Tg3spFJsIFFuPyb3CN1cRC2iGgENLCUHNtkJc+OaPYybVMVi
sfN1W6u6S5ULLVDXqqZsVty2uhBvZk12xknF0MsQ4ydLwIQ4UrPwWu2pJWVc+DBjhL5N0zg0Xsyw
w68uXE8QH1DHBbN0MaT8MCagGGIxqxfdMAnfA2XGZVEKx2wrUXLf0CvTqAmZ09rSK+u1Uet6FcqD
6eEaleDt2QjnQpRajkzHxY/MHU6Xz42E+WOSle26jBukXFsemzVj7Npq6ZfW1z0Q53YejxdJnl9g
o3nfqemZavWuNpuP0kzVRqMWnfV+7CDphI7h8Afc4H9TVION/P+eol4mr68vYfHt9fVjkrr85l9J
qvi7bhiKBb6aVj2YJraRv5JU6XcZSJqBFQkIBhXBzl9JKpkooG+FLBUkOFkDm9NfSar+OxUY0hUN
JKW6JL5/J0mF48Fr/wbDwR4O9huBLVBdqgWG4mAPp9iVKgIunrQjNb1czYMi/Oh9KzLxsVUb0zP6
1mgdXxIq8VEFe7xDPhctGwuRdHHdBG1EGbpoBHzCs0IVHCloVerYVsExUIVuOvf1qo3nO2uiGBxa
4rrvGy8Zcs32c/nCCBMHkR1HiS1MpyQLEgbdbWUcriQOZrtI5NduosVTVeXFEGAoLci7whdxK2yj
tdQm61AfrtFPvzKtcItFoKOWNe2cUv1WRdlaWGSex+J8oIViRMomlbPdpA+rKmwxoU90Gmddd60a
eF9X9HGTQHlCPH0bUttTtOFM1SVvjiPPEu+mHNfhVE03OLF7Fc7AihI/aEbypaUurM7T10xMHzqr
viuNSli1Igz4Wr5uTeuJHp9jKIQKRURZqDhpI6XxLFGf5JlrdpcHayENrtNIfwipW2AjtW/V6moq
xHNqQa46Se1KEsRzUcacdyjkNUwd7APF6FWX57UajvbQaPeD0nJzD+/p8+xbzB7rYdhqSe0EReUh
9UhjNUBPO9zrQbAZTFGhTplfTVTrxEK+ChphqyAMQZWMRpwQXcnwwGgHfM+6enIEofuBWw14JQug
TBrjNYeEbTx2buwPszPMwQ+zQoFaoC3Sqr3lVLp1r1WRS00ZCmQ5rZJp2uLJg1qz/hiXOH8ULZDp
5Jslx2R1iCNGonyPEfR2EpVF87qmV4cjME+NqlJT44lcXUTWsCnzjpqNFLhC0n0vcuFslJRvY1et
B1W/thCZzPOShsMEd5ULV2HWPwCC4sAbPfaa5FSC9tJEzRbZZ6dQpnWRFVhGLzp9Y9F+HXpUkxvf
xJKvtdZ5gWB2FdWPfmzZRcQybpIftaqvmM99i7TzOEn3bWl4dZeN67HqHaOhGaRlIBBqJx39J3iD
6GJO8k6u8K2v+7KkRkJzV5guWqEuV2keX4dW+KDH8lnWpDcYBXr91Ahu3EvXqWXg3xrU54lMuTsd
ncEon2vgEnWb3FSWfyUZya1AUXESsxvQ2kC3i/s56S9mOXVVCFx+Ha9Rl7ygSPHNCs1sFU49SpCo
mTvyLG9qDLhXfT9eow71NFQ4E6A95uZ1dxkBbHCKHO5vo0nbKs+voqC+iZkvwZnTMGwdPBGEP+E/
/3uCmFz0PjlBmpfXIiUrPeQ2Lb/26/gwwSqha7bAzBdR57fHx3Ln11HGsdAPQLDw1/Fh/g5SFyi1
qZIuiezqv46P5WThD+KKw9HDiST9neMDPYQPxweHG34rCuKMXJN+Mk7f3J9S3ZfFMtPkTZ5kU3sh
jYqMu7KUPhVykf/Aua3ambGmsBMgjtb5w1jdllEW402jNI9GBhBkFOIOjIRU++llWrcRwm0qBvTC
4kmQ4gdrpWYquiPI4wY7ZCw1RuVKnwIjWMOa6mn3pyam5Wbux5tGpfVYDaWQeHWtXZtdkbnotogg
MQy6L1N6U5pBtIoWaIEQ6qAO4ntdGbHjTAk6JCL7If4DgJkmi81ZmNUXuh/7LF1ECpqMO68GwKFW
6t6h4jJ5SSmDa8EJRPGvfHLMrtXOwyJDeg1v2V4MBlsaYCpH4dNUTudaOj3GihGvIF3RgSrLYGMJ
SWFHWUGPZFYvuwmwT1h5RYurumkI13KQ3JoZ8CtzEC9mPfveZtM+ycN7VY9bZ5awk9f7vdFXm2GM
+JjVY1YKX6XJwvNC86+GRjgzsD1e9aZCnzQoMPg1JIPDLdj5jXzdgKJJ9MZagbtx4OYZ14ruX8qR
uZY7AYk6M/phhv/D3nktR45kW/ZX7g+gDFq8AqGDwaAmky8wqoRW7tBfPwslujJZWZVWc19mzPqt
rTpJMBDAcfdz9l5bxrvYVsJjLSprE090Xg1hv6htvRsQNa8KvUSVpFQT+PtWriBQk3ESM8VR8m5f
1frWmpgNpn361cvnfQWhfmWjO9vEFsVoioqNS0e+daMTKNgLMw3v3Ex+HZOeEUF6G066tyJneD1M
DE9H0iSirh0Dr7LiTR1SqWIEECZZC9AWKrfdT5PCNsa46zT7yeEuZPz+YcgvMgdvDpT3+0jMZwaE
R6GU22iw9nFnIQvrc4YWXrcf83CDbnDX1NN11lQXZV1dcmh6ZzqR+Zk0HvteO4wR2Up9vZ08ZWbM
UJ9QFD6ntXlFJsbGSKbXKR/uZ7XfNDImJCKnZOroi0JV8VF+M+iZyeZYEsjzdGvKlt1BJckXILlA
Z4PlpltVmORkKI8ss6X+WyPqv5V2wV//faW96trypfhBoeWn/ii02i+IwxafOrsxiHMLpuWPfbr+
y6KmppHMLl7DJ81P/W4HxfNJxBctaOyg1Gl+7s9C6/1CGKNpqhDyqY00qv9Vof21jfvNPh24wIL+
cCwQ7osvVV/aFd8U2kxoWTp0tJOLsO6nExAccz6pMy9GburvokvgSXJk1M3SgkDS6kyWmPsNDmWl
JbcdaD8yFdMQF7PUxre8GuPRN835NkqU9g65W2nwXk1Ncg2LoDqbk+2uvLSqSLhXto7G+CqAYZ06
CPBkZ+w0Be5jlrnqRq/C+KuYa3cN2hbBVW+6NzIz5S7V+uQut7tww9zaeqnCTgsUxnjaGF/DsB73
tSbEjZF3VqAMXnNp5PoU2DoAO4T+pgoLe9BjL8jqnAws2+LYIEORnXqTkXGqMy/OMvWiS1MG7RMs
qKzJm/0w2Yafe+Yy2ga9Lkcypgq0m1WBliAlobyS2bpPIgXx0XxWUGsFUVbczJV2qDl320Z+nPXw
YertwGvLtbdkW09VfQ/+6pDzJQejSyUk3HZbmw07w/xyjppNTwsiMeVV6qXr3IiUxzRUbT2wa30k
vaus3QcxefW1Zin1jUiVDiN/Y9hbhuu3jQbFuTPIVzFL58MuOPsLSBM1chLLGDBJhr0WOLL475br
d184M5t/KAS37f8cQCzLH5QCfu7PUqAjCzNsk7697TBf+rMUaL/gk3PQzrqLwRuX4X9KAc5w9mjL
NAExPl7nZRr1x5EdZziHf7g9PLekEuKd+hdzJWdp1H1fCUwO61jl6A2gZPkctWdhJcsxskQ7Lyf+
60ts9/1VjezZ58g0bfuqu7Qau1+RNMErnQ1nRw6Rb1kJa7Ku0cmLTzK196FeXw+Z86XpnR1OeFSe
vCeuGe2buLmySfRqteklbIoLI1HuMscIt7GCLjgM23gtqywkGGkg32aY5KmsZLFxigLvRZTpKmrE
xvXQykXsvHKtym7qoq8ujXJaofQPOo/Vemgm+9bLSnj5oI4tVvauzRaddFjLi6IbQoROMubM5wxG
fbTcNLe2SmmzXShjeRrH/NqenZBjJWssqZbTusvt8QRdrX/LBilv1FA1EFaa4jAuo3A+PBYvNkU3
2EOjfd2H5fvgxYT2hFWpHs3Kkithq/PWaEzzBWOB8SpqhAsBr3dJkINWvrpLMSS8zV05S4G0QhRR
vzW2/9XqfEreRCWrr+1nFMN39IYfIx2WC/2H8PD/FK1h6V/9/fJ8+wJD6n9uKvmjsxA/+cd7af8C
FIHOFyCBhdewvHx/LNEOMAcDGK2pAXTAZUyX7U9ig7d4SuFagd6gz8W44Pf3kleWJZ9j1Z+ch3/x
Xv5aF75/MZfpscPuQYUbgcWEuvHtEk3fBulJUzi7EuD0m4ynESGGHPvyPA0VwuRKaavNkEau3BB+
YL7HhtsGg2V19JHcfF550snLZ1DtkX1RiwJYyJw1I2I+SCz8eGaSfhdBCSH5IQkwqwC2MUSyZ4iU
+UNeLr2TJfAsA/THBv6qG+N3AnrJGao5EEj1skfBUAzT0+D0qm832gtphRaCQ4LlInHVWQwk87p8
HmX+7Kp0ELAd0RMK94aYrud8kiyj0bMzoPBssuw5xyvOlkEbfWOS/JE402dHPTWe+QUg052WV7fd
hLJjICGkL5LZLxTrKmqGB7JFvJ2RVidUyjTP7fw8tjAuZu0kG5SGveEYDK28LemRd0qmr1Akf9j2
/EgkwWWRiNRPJ/cI5vZWVZrU99B5BbqclmS39Iuj4liJQ/OgCG3tFsqunacbYsnI2rKVzRzW+1na
CPWV1QSTCLuCL1UkfJGtfbDFuy1SefJYq5F6h3fFlNxVkYHaZtz2nkvPxj6HUbmd62XXkxyEUezn
KbuqrYzfMOk0QhP9WCvVpqj0tWvP94YoaeR4LkaNfmCOpBwYyCGCSYG4Fcesy9Y1ZPKcU6qhlXdF
gmsjze/Gqaz9MVTW+NhPlrRWSUt4UmffGeP4MAlx5XgEwFcZEHBxZWT9UyPFgaVsy84sC2y8H5Eu
toYwewRDw0HvwtZnA3sftt6xUMyvIq8u3QH5cJeaETGN83vqkqiQ1ehF08ZUfL0pr2ZWHkCOyq3i
cCy3+9vcMI8SWj19oHBH6++hGPhXNHDpm0bJKhFZeCUSwwnMmu+iQDzr24VtfpR0MDAr2Zw3XdMb
36o5Z4JkRlbGLKMiA9JTyg8xj5FB8orlXjmKJU8Go5mLDheq/2td+VcV9se189vS+f8jDoeC9/cF
9r5MqvKve55lFvFHbdV/0QyXswoG7+Xw801pRWWDiAaWAl5sMuC+L63AG1kN+QH+gbOobP7c8lCo
2ekwu3CINtD/zY4HZ97nLQ/4MH4NXi8crUhdli3RN4efbtYzL0PSv5tUjCyDStNcNCdzzl+sLHrL
przw02ZgU4+1ri9DQSwQb3WeiIOVlK+CKMYk9g5isoO+ri7SwdxY9rgamULkeKW7fPTblpAivE8z
YUrM63ZRei0N2vneMaI165b1XRzlkKjd4yQXvfnkj6bc2sO4HunDqwY9E+muO1PFPNIeVXsvFWwA
1V7nLMIjvZKu5VflEdbWQY3zu7pVSiRryLpN7zxQHLLOWNtNtqot5WSWwzaak6Drk3WmynU8HIZG
WyPk3tM7CVp32WF5tj8096qgh55M2lbmmAtbbWe5h6GMCUtx7pRQrMgH8pPqvQ6vOxxpSZgfc7In
XUqDG1WLU2Zr2Q/OEBOlavq0snyrVXZyKHzbEreQozfomrC/kTo0y/3AeD/WNb8SpHkhnFYIKtJq
E7lxHwzdazLnSP8fi7bbjOqo+wCeAkgc6xmuVx4nDxpmCjl752o0fbsPV150lbqEuwIOd+S2mpsd
+N1LVyV+3fDIglXkhk2AtnHSflrFE7RljkETGsWcG5ChedRD5jsmQXPpq905vjl96RyVXne2zaVB
Xmnqh7rOSGjaRiWj6v4SEMkeySm9b/U4Ks9sWHEqzYGOQrgkipYpj18aqA/JlVs+3I52wKUsvaAO
7c2k3IZGFGgWruY8vs1yMyjjbq1lzJJmY9jnTY57qlKuvShdcw9u0pGmk6Gm7lOOy6/2Y8ctLrEg
mus27DN97XTVQycI3XSqhKaartEYwvfg9zlJtLoT491C1U1H9sMUxqpLqeIs8jWSc29tzOGNgc00
HGvIHOPOntNnLHpv7UCSp+IlmHRTwSh9QI7BEh9OHdJbsTdG+1RbDS4G3A0ec3bFYG2O7tKWiHQV
icOQrOPiqCPLt8f0pAlsgzPWhLb+oOuKBwtBh8qn9O5zGlbz2JyHQeJXjQKFSEseHb+NWta4+akp
cwxAJu4GNVhGzyYsOcupeM3ym2pog1BpT23HYqEmB6aPZxQFu0FWZ3IfLkWYPaL/3zSlu7fGk0rk
cF5EFwPPycTMfVHm1rLYxoPxxcmTDWfz9TI4GoxLG/h4KG6YhK9n46oRPJaKCNzxLZJNoHR0SAoR
FPWbkyCsJ+eX0efWbe+n6Fkdmg9Lre7qBi9O0wSttNYKinyz089Omz4xjPVbhSYkI0V6en5luDQO
u3zTdijjq4ZY0+zCyKMLS+UsY8TPApfKDOC/0UEkqISh6bf6cB/3kDm8qzgTgcR9MEXXs1NdWI2+
ltYJ4PCxsK9bwfK/6MdHUa7BG+extbaJuJu125IXzu7fxAInUPUjsaE8u10Qzdo5M15dk31LKzZD
/QbVfu1RAXtMh3UTGF2/NXQS3zxsUxTDoS2DMXG+zLm9M7KNg+Dd7ac7m4uG0643nXNvKOtQIZ9s
+iqs/MJwylNNIxkcES4aj/NUsk9kt8ni4cWIcTJGGhUWu4mlBnbWrEa67KX1KiPpe81+6Vgb9uMg
BdMsb6e54cN/l/XfKHesw3+/rD9UOenAPzg0efzYHwu7+gtqV5cOJWOg35uXfxyalmYGukTHpomA
/GDpWPzZ12Q6RBMEj/wiXfW+6Wu6iGRpgKgqmE0AE/+ur/lbPM/33Qz6JUtaBY1UYHdLs+XbpT0a
bKPsrNYmYjy/U5U0b++Y94TZrhsRnPplFkk3MKVoisCFFClXBBiL+m4OzfHWNCKy9EKpUMpqXnVy
qkPy7C3JOWhn40y5Uns8bn5lMccmAEuJcGJRwht1fMziafroGk5CWSoW64uu3RIK02L7zbXA7Zn0
X1SdLkXQVILQszFymwjzZBzEzl3K6U2W5kGK6ZDCX8A2hli9pReBRUcKrF7pLPT5xHi4nU6c4uRV
Vcth1TkatMd4/hhl4b6XauzuinhU/dCourui0KpAgKUM2rYXgWq29G9aFUeLhZvBmyTZIYQC4ltO
8bROBLOr1lHpmre2iwi1Zy8WFI72YiShhXMYYDj0d309xr2+ZnaSHvKGUU0K5HND2O2zcOd5p3E4
O9rVRDkY7YFGLTRdS1FJ9+22emK/J7U3sAQkpyRJXwstt29Hp39LtEEJtJnVskBbgpyCpKLCMqNN
pkTv6YgoTxmxVhkhxpnF6iy6ybewlKKTum2q5GvTu+u+oflSD2wZlHkgJrmd6/U0dBHmYOs21ps+
SHpxSGiMjmZ0ndnRy1TjmzHJjuTU9qBHBZnnY4GfYZ5qvzZIu2xMvGLK/OLp1eMYzW9Ta0YrtclX
hotHMi/V57ElYmvsoytJ8roA+Ohz19ajmZ3Qg7V+QzpzMObTOQfXxEEqPpCm269i6JwyFkf8+tgu
BncbutreaLS9peA7acKX1LRXZkMMiuz6kjuRoKtAlbmrZTh0m7ZeXOs9EfdD1LlrS3Lo1YilLpB6
VON8LB1xLbxy2NW1hcLQ5aF1R6x67rxvVCXyS55KP25dxMP6DYLY52bOQaUbyiZJNbw5aMzXnsXS
McrXOOu7lWm0HctE061UxewCJ6uVYB7Eo2uWO9Pmj9GM+hzHCHO8lN2u183hWvAHB4lUXnszQ0GS
Pk4MKX1TG9ptODnTKVIUcytVNV3pVtm+171+mm3rXtFCwqpLLFmMS2uH2aYj1KuOcdjeUxXOlInr
Bpg962DulXA9g2BnnRb3wCxN7GmTB2QBH5ww8sPQWRdakmSBSlvTtwVvomFNh2ECC0BC2v6/K8Zv
K8Y/dtoeXzKihH+0YnzTZjN/4ctmQeBg/quv4pv2t8li4nxX+/9YMZZemoroAC2ARRYbIv7vzoLA
on49wi1dOpBe/6LN9pejIHhVQ1NZmX4NTVhOqt+uF1Y1EU0L4Hnn6V9nojzT7idBTZ8Ecex7v78A
d+bbC1RuNpiZxQWwcqJswA+JfsZCsiNmmDT16psV+wfujeW3fbf8fbra8td8c7JVrRTt3KC0u6K4
JUQ5KFqGXeOH4jk/udDP7tvndba2Z3MiWh0M62ULISP7d8Hjv9KtTI1wApsJqop95tMZvUrMMXY9
PkmYtkiYKk5fSpj81sD5W5LkX26XQ4tXhzhgLVTcX8m8392ufBK9hAC/s/SA7unatSY/JEZ9dh/+
+Xv5y1OwXAhljWMwB2J4o33/vQyzbGcX8d2u827FfJGW4Fuea61c0dtd//OlfviZeJxVD1QUY+ZP
N46OrKPModrubDtW6Muml9KoHkOaE5wgf0ak+xTU/fvX9OfVfpWJf/PARXaYFUMxt7vYHdcINS67
TtssUBG04xxGx+SQWc7KavWjaTkHAl1vyRvcNQrKjBS9X4Zk7iff6fLGfvcKcKsNtldM1vHJMIX/
/lY7apyYHD/4TsPXDAm5tXN+1yj/7WPzl4f/0yWW//+bD+3NzsCKw4dW6yuE7wis55+8Xj/6Epdh
gqpq8FT+wrBUxqofm7nmS/QsMBJqQB7ahZvO17i/tv/8vPzww3xzqeVP+ebDRGLUHFE27W4o66Mc
yvWIsOefL/HjT8PzCEQOjq7z6SvRopGBXwQxxVNetfphdmDQlKc8+pn75kdv2RIO+sd1Pn0vywyl
qzI+ihhGP2EUnrAXRKuk2a/a/O/JhTxbf17rU6Xtq3BudZXPxBnoRubyfho4sI76UZtSVsz/HMN+
UNSXN/bzE20Sw4GzjLMXj8T331DDLNWpo7jb8dEypjItEZ/ipggHXytpFObVqhFFYApl98/X/dGT
8e11P93Owi5y1HCUYBXAfNk4/jjf/99cgbwbh5hk22CS/d2z11ZTBFbIo3pk5aVXpDTLPLz3/6uL
fKZmVgpcqEzhIkX9Pshz1u3/d7//09czcQpMIpffvyBlGAD7Unz55yv8+AGADs+OiAQp49NtqsPa
iDKTK8D54c15STl3ZGA54OUE1QCopYYIZaWrf77qj7/+/1zV1L//cpzaMQqr4qqOnp3dHmN0GFk/
q9affUQLmR49059X+VQb1Fjq1cQoc9dImuDJ3jLpoMawWZSvYMUGSS9JhltZZD+xff3wniKxWFJE
XI2b+unTsX/RaqZbOwU4oE2qb+PcW+Y+nvDPJ34n9vXP4Ns/vCKNV4QSxNTrnxdmdtLhKKzlObmv
HpRolVRbjjmtGqjKQf9ZvtNPLvZ5XZ5lHSkurKadcu4Zj5a7ZF/eVJqfOkEW/qS869aP1lyTVHcq
Ihvev1B2DUvQ+cm5mkBolaglIlR9VbiPGj6MtlZ2MfoqBPSeOHQAAQz3VEB3MWduOu0UopRuorbY
Lww4BoJsjyYeszR6HrIMDWyBtcPwIXqApdMYxjJ9zNQg9R7UEqBYt7TL01NrPffJTcfXlslrI31K
IBpayVlW3t5mkmr2DxLJho2OJdE58edBPcfb3ixWNKcDK0Mo3xgI7K899ZgkDDeugKgBk/Lz6M6q
7rrJDOp2W+VvVpQEns5pvvRwP8yHFs2KE/YB+plV35MrCqokgseBZyXO3qVo6X+k55IcNncCSSLp
hHdXU3mdTudemj6iUV+FT2LLGahFsZpmhqx2Fxi4H6q+W08OurWaMULyqs5obqd3xPa+0ihbDY10
kniB7qC1NfJNQw84r97H5LVVxvvebjG5IsZnzJ/zFwM9kFUJXQNXhtGs5uFSZo2f2ECsbJrJqghC
Ux481NWDWa/1LAb5Zz/gpFtFbXQc9EuPt9LI3sv5dYwv0NaC+PiouD8GoUI9DCwjMwIHWEmKAQbg
ggoqJnfPJuHTZTgHoa0ho3O3ut5ftOO9we0wsPxCcgJxb15O3ER9KP2l190ZD+aAx6/1IHjowYKX
ye0baQ6nmgaRke8XU61b3RhqBF/y2p2qlcyVlaE/hukDijl/ADGm53OQJu+ZeieneqW6Ak5jxaR5
9OvcgG6kroT1MYdPbfdqF2JTFwOyPCtgsd8K7ZwzgAjdS72+MWBCYQIESjyBWGz9X9UAWg5mkf+G
GG+WsV/TncvU4dQX7jodHZ9c2ICvAPwEPSdINX1dbmFOYR28rgZrJUYgfk68cavbhjFPo01+anwZ
FslwXa9aGuIFyoexnIPKvCd7gtAhG5bK4I8IzF39JSm/qM393N/oRgt/5rwoFxXtjo06jEVkE+g7
TKY4ZXLthe+DnQdRXwQKHh83/UjgRlVCA2CkLp+relTan5WCXy31f9mrLPmhHn4zPGBLpfhmNxnr
NTGRNZUAYl4ifTcJaBeeZ3U7ru2nWlB8frJKEZ/4o1q3ZNADfWeGj5rt+2s6aWa2mqu3uxk9OGTQ
8jbPrnN6QzCM0KCxnhgPTmnukeBtLTB15thv+qjaEKWympvyjEztHo2WDfkGSEjeYeTSBY6ZcuMo
2j6pMbOh1/C8YUOgot8NBnCsISjwXJVqkCN4d7L3vBhhh+wLFK603aT+5GbITrJyR+cM3B2T4kJb
Tc2xgwaGETTQEp4hEUK/iW3zru/fEyCxSl5To5KjV3AdpRo2hs0oqWPs9SqcaW/m82URsuSHFR6g
L4n91c0Uf4kRG50cX1S2HiUamg7lTpQcDHPcQ2PdWpm2CuPiWqu+eGnv5ySDqjCuyvS0xEKOxa1N
V3FMbowpBIB3K8yjULPlIyU0l20d9S8mVfNOw8rjgp8StrxwmieIOqIGujd+RB4IPzrrNo5fQ10m
qojnaf5K9S6c4jWOH1Ck5RaCk987yYpz2zoLq5vEBi2jQTPOmg08vjdNONe5QGIMbgiN7bPh9rtQ
OntU0lSB/rVp4r20nbOd4Z6wFSOw5u4QYZrisT/bXXwzZAuxrBp4RdKzwJk7VfJxap3nwnD2OmGf
A+dt3wz1UxylJ2s5S5XOcyVTwzdKnSdTUfaIaZf+oLNm40Da9Yvu3uRJxty3XEnYZmrNxBZNimqe
Yk4YAlLibG9DypZigr7kHEjcSXhZVC+lCk9tQnrYrIY6ww0xrmRVMQ5+mcgGaFVfGdyVFVrXUZ0x
fTO39vxSFi+j9pQZN1l0ZDK2tlzE/9ejEvIf0sCQ4GQ1agDVKS7umafb5aU0j7SUN335PsZPFZyv
kQGDEX+1ouxYgcJsGNL3OiMCdW1EV64RHqAtIkxcDWJCP5AgE8Y2UJ/C+cEbmHlqZ9VkpVbW1QLK
SnmFLXXTol+Y4y9J++S4V2GG8srKg7b6KIgQUyI82OqX1BwOgMhKmAqL+oixZOw+qs6dOlyOBl1c
KEhL78E1v5jgm+BvAC6C1cMEleWdAWMlH1QPWZQFa9L2ttr8UOsXdniddf26svHaMKTtklOGgZDx
FEqMrxPddleRBzGagV72iI8epHjvi3hniA/dVI6uFS3mjTWKVXdklDNvLOzgo0zW07zN43MLa7Dn
WwKBsvXKh2nY9QzYrf5rmt4WC7Kt3kvL25k0juf2NotYkLUv5hiSrkWGWf44pU+zfDHaAb0AB83x
AQfuVkuNXZldT8bDbNwrzL2TQviK7WFwZM4NApQdyDbFju3GaL8uBoQdHs7SHjyJpCcoobm4cCg9
VfgTJaDW21WVVKtuEKu5L44Kccx13fq9+dCpd82414qdG6p+Z13ZQwgul02PjfXITYMxfq2UL6lk
UsFbngNYbBj/60A8u/RadIavTZUvpoltGdsVWx4TVw0mw/Nt9igYknJLbtMs3Wa0N0RcgKkMg2ZR
smUnohJH8GCRxcfQu4eo0oPahScMsqsTG87Mm1bO9ws8D8nrNm1e9AxKrnGTpif8VJH2PCXlLsJi
qmYG0x7i3uOzRPgiqHlmtUrRtGXqc69jgMqvZ25NgXnLgRIs6nPNgb5VnnX9PsNGbBnZNjKhWRLa
mFPx9zD1ggw8e3kcWXnq+aqOnhNG2PHC9yw2EioVExeGyO9GPQZ9RRBStR467niSBlbLo2nDqYqg
hprnSV5NzlcnfSU4C8/x81Cq67ykGDuv7RSt7eGZ2YuviGztdueK3WWevTZCv20FzjQ4xp41b8t4
vugJB52FEdg57gCpb7GmbVt2siOrYQ7QLNfLjZnWd1V70NEpO1q+Q5A0li8ubq1xgoCHbiDiEcLY
M6CJUOVwnAdrM+JYUmtjpfddYKOF6IphEzbv8LgDVAVdBlbUadaaHJDQofXLfXRVPjURknW44w61
7ok6NhnhJge1PKWg4UB+e93abOttb2ir3nPWaAM2ephvKrz+CPWG/rJD3OFML0V9kMz6p3lYt8q9
V5xn7Sp2r/EtYN8aj3mXnVRQ2pEKK+vNES1c0xedpOVxuB7bp3K4znn/RPOi1H3QAIe2itdef2iL
R1setBixg/xV5ch00tmoUMJwq1UIDgGu+yXvalEehkysSTreQ/X2KVFQbS/RuQcFMyibXZUlxKZF
yNWjligTnX0/cFNb37Q9Vm/kCINML2yAmNo4QfOE/MuKz/KTCrbYeWDZ4SYObxzkoVZ8NdYpkMyz
QMikcALPWBhRnqsEGYI6G+R2UCrSbXlnYUn3C1gdrP2kcF5WWJ6r6qwa+XU4lyst7TfC/Jhnfgdv
5dxE6FVfLO9KWBRHlSxq/VxkfOVFvI6tI1GCTI6DnDZurDVrqT6l2YvlaLetKanrpIeOzVuYiVun
OanDXuods76V0YO7dg/zaF3VoYQIgcTJMMVNyNY3tdp1hMSr6R/4dv02PI/DhSWuFQ49mXyJ3Nth
3PddsTY7JF1sAVgcdREGOOwDJSSmXZBNaVx01I1ScS/FjHdZu5jkQzMja3LutX5aF9XtbGAC6A/e
wECOYV2oXJWJQx18xQLo8ba1PVsqTT26SHhH0js1VutZnb7YxVGy46mbSzvFAWjguJYbK9q0sesr
yNBi72FursLxwoKY7ZEboEav2fgmU9XvuZeIRjkiiQ0aZWH1aydG9FsWq4bjRV6EPq3JWx0tk9pV
zGbPGbSMidvbhkA0oDGGAkBs9DZWWVBqt3K+6DhwWPG5oS6yTtS640/Om+zZMykYFa155SbXPajV
BtLoYI6BNI29QahWyr+e5qfWPA7d3gSwGJcFh2LCIpyrIXrKireeBmiq74vxUu+HFQ4EMVzParx2
KlwXBdvHzLkXHWlQ/M1PVhmjlPWCDqJQskiDvWGVUyh63rAaSrzFJk3bzCn4PNykrgo9ndI6Q77n
HFXNHCiMa51NQ57UEJ8LshAkciygxOGjiUey+IiKU9KcK9SxJXoIB19jlsWXDqjVCs6y16uBVfZI
lfqTFmZBQo6bioHRDZtATdCME+nJd0qtZ5jr2itbxdIqq/3AyzK7b/VkolJbtTzDrrqurSigB+x2
91V+b84mJ6h+K9KvRRResRnvikdUCxjPqM3TVeuFvlnzNilDkGXvVj1sWtawgY+lufBc83jVZRWh
CGI1YJuy1XtN09nXKny760QP9xUEfLal2xZZYJeNDMz51ItQGRKYQpnEPgrYecQNpm5x4wGjyS8Z
HSBdVgIRzpwlhydX7x9NA503NbJ1P6zqK04wYRFoRZ4ux1So3wzyepXTqzKtiXYE5simAk6B2kYX
Pe0r/HGrZPRWmcV3aJmbPEzZwH3EoNNHbdowBoXc/hXGFhKnL7l5K5pbruf1z6j3oWLrG8SNgZi6
wEOllo3ubSJvy+4haZx3Y+R8X3UXoUFSSZZ8EMVQpG2QWU+wzbDAmPuG8crIv0Ijj+UUHMF0V7Mh
G6cze7k2vGpw84cpi4dz1tgOljyAha0d2+auLk6UycDwen+wjPVcVhezlq+XXgEiFOYR6WrO7HVU
fTg4mVXdIXWh3gmJ5m0Komk3qnBABfK28Gaqq0Pizru0yXdOlgYs2SZJAzZpF2WVHSXrUwxJgpDK
bVQ9RiF0Srk1seJ40VGdzYPZjJdzjJIN6mNDuAFLe68tLYo8mHrgN0xRZfNq9xztGwO1PPev3oaV
OJg66I2u3KAhyaPLobyfHCrkF2O2D3bfbobhY9H0euzHZOUGWTfyBSV+H+s7ZbyKU8cPq3copEqF
EoecnT7GqxTTgWcjYGMRrKuVi4BH6skuyjFDI7DJBiDtqr0t5/wh651NONBC4eGY4UHkHP0s/reX
nTC+r40R8rK9T0BcOom5svpH2V0uvIl4RpVE4VNQrahg+6GeglEHCGqnZ6nLfdRXW+lgD1AvQpv9
sZKv29IJIv65a28rNluiuIpwX7jirjBe8E0Fjp4eOBao02sdZ4de2Ut2e2ZXbDvvyYFf2VVfLe+D
WeIOM9FVGM4XtbH2yoswvAdDf9Ar5cJsk3XpuL5q7qrmFc30aggvxoz0B+3cq3PgFJsOr6VrxxwY
xk1UnkawcaXibZKOFdm+b7ChO9O9qyF3rN9HWQa6iSjz1PDDoydA4iPWyB4KWiBGc5iBWRgIO1Xy
uuTK6iq6UtZq4Tsli+jROavskSWHidZBmYReE1wysI1506EwnSxtZ9ORUwbgIw6U3ydNexKV2CNf
Wzc5EmihBiGqmDDV7mZxH6oT26j4qvZc+Ca8iAhryvm2ogS08QWqlweCTxBPzje2fpmaWFX7azyg
oPlb3yMJhAiLVZ1YKHlf/g9759bUuJJs4b/Scd5NyLrrYSbigDFg2DQ0dNP0i0OAkWTJkq2Lb7/+
fGnjBtvaHcOUI0YnYt5mD3RJpKqy8rJyrXz+sDSvQ+p/wZDYjEplObIv0r7X9YhR4iK6CRfWmRGN
O16VnqTkTYi6AtAhJ550TJtAjJNaOPpJKwbXgx6Fo8UnCSlkyDSoFz3a42vTmvaM0a3pBr1JMD/2
7Gurf9Ui0jeNATBs2Pjt3hL0MMRWHWhFux7Mu3ZREt+6Xfpzl9Ykvl8URrfFdE9u9eHiJkcp2scw
LKDBMjmdgxKquBBTmP3LufUYk2z3s/sEYue0aHfmoKqq8bAbTX9M+lyG07uROXb69HfnDrFTOp/e
zpiMeSxGo6rdC/pTB+lEaEVal0sI4ZHoHl+FhXfFjG+3XxnIt6b3qWNcaEbraghom1xkeW5MW9FF
DoDVgMQ5abVukKPpmJBZdUK9uK5C7zWvAElBdJuWcM0nyambjrrzQnQY4qckKCgrxNcehLSZ5pyb
zOfQFhyUrvXatufWKYRmD04IamGpt9LTYUSOMR+mtxVc6YFXdvOZ2et7UoNu9ylJR1cA4i4Kx2Fc
YAI9gnlZjpZn9sg6CwrvMveqDiLaiIOGT+G46CWAnjMGZpJp+T0lHGLA/9xoZ11QgjdeAiyP8H24
iLqePr3RIWV37AJRmvC6cozTpO2mx8aoBL7vfEMRHIru2V05Ti6QU3yKzfGFFmbnwPgvXdjJjWkJ
E0hyn1oxafrymompXyQPF9Nk+dcQXKxFhYGRyDMzCh77LesF/RmkEKOq1x5Oeq1+ivLKzDofGu3v
MEZ/N4vW13m/6FRheIMeeXcMfUOrcm4XbfM6nxmdaNRnfHiZmN04T+nje/eLLESTon8XVRP4wJnP
ieb9hyQDJN5GNegHvHpDrqD2LS3ln543v7OGk8uxlt7qUCxHYXE1mXs38Wz5gwG2r628+G6O0QFc
ENkyUY8MCWBkc2iPz3SEWU6jENRMvCRVxg3d2IV7jwQiGVdkzfFyU+8ve2xAjl0Si1sZbDTtSfrk
zWdg61sJrQ+iMyq/9oO3nC47Fox7S8vk5MZmxEAX+fXI85LjUQGbsDZPhxf4TtL8kFK/aZU30SJ+
nE7ib5WdXabh/GLVZPvvCJFHQ/x3k3uPkffBT8raGSL+1QZqbB3RGWRemrI7dGcrcM4GamwfoWPN
+A5lZmBqHqDhD8AxzwNqAw4ZCtY1jc37fCZkvLqAylaDm4wefQI4Bu8uZeWtUrct80tgCiDFgZnB
3IFAGRaVeiNz2+fZMrVnl1oUP85mi6q3GFfdyXhGEWPWocoCunJonsIWcJX1rdOJrv+Yhw7tIOte
88YdJwkZAdYt+ywft16hgYfbu9Rv+ylCEqPWdHaSaVM/cCLnbDjLr2dUYKBS7FWe96xXzPSMW+GF
NaXgoLk/zblBVWHJtRCPYLCeOiPURiKiVICY5KGz/iVzD2xhs1flXJi2N72a9HOwEsaFlxQj9Ezi
a/KXi9iYXS1bIciJefBqTqT9xAXJ3E98qrWy76gNSBcpumqlo3OAvE4nsJjC6EsqNTFenVl8682M
1xIODXM0hBLcWt6NFvp91YJFK8y6iTv55YaLrpOPvpkMV59oFtko0lGjafUQTQOg1O7lyPDOtb75
ZE3mdMa0+WCUtHvJ0rgk3ejBhPIzbQ2Rgui76QmpxWNrXJxneutX3548eAFVrBS6KidHoKHiYuuX
0ImbdnIb5MEDeLD78Zi2UWvRvyni+GFBYknDgvbfuH2mefC1Wrkxow1DtXiaFlQvZdzGC9MHYwz5
YzC6ZH5tdByU5WLxsGxZYdEtA3bplTHVEeGcU4bWu2j12RQ8h+2WRUnNjvqtS10DPf5YpHZ8llMB
cP1xCOH46TjKEGyxl5a3PA/TiaZ1WkW8nJzYbZu69X+dzRqmytn7k7MpwigN6h0O//Ld4QhwzLbB
BKyHG94Hwq0jJBFBnZoAT/mVD+RYIFWFJRsMC/wObZ3/+RupKiBWZsuRzHSBqbZt91P+BibGfX/j
EKHC0OUCi9wFto3NlPx8WOjnCdxSnRQmk5M0M7vtrOrps9FF4lWzzjiPL4w4qE6TyhtBeFh+Hy2W
4YWTtonxaIQeR1EbyH9c5sdOa/gzKdyvRmVTHXOW0YVDNnNa2Cn1Hoe8JqAqdZtOTUD88NAZE+24
CHS3upzlwWwJo7/jno3d0C0e26XBmFswWTBuFs6ddnERDxFEW8BW1Zssxsn3whtea0FFOBmX8IZa
1l2G1OXJRK/mM0omdvBNK0Z6d5bN7E4CecztMC/sV4Rj8C12SsjhRrA7MZdMipzd5MKyl46oBE6j
pQ7QkJbejEJ0Yc9OEZo5m2bUzXS39UIJY3nc71PKpa8wRt5wmVv+OA0uIevqWjnl0HbafrUr656h
ZlQRyl9uGV+anPK5zsxYiJYake2L2zJol7pLBrHm1B60sgWbH/lqjvMYLl1GMfAm2aJ9HwT9HxZu
Rp9DiAtHFCPLuCBnmV2Ph0tm33FOZuz9CibFORzXj+wophnEjxVL4ydksT2r375McHRTtxqQ9C6P
i4n+NJq450NcIko9t8k8e65wle5w8SNIqOXaOFEHZ2oV5S+zSs8THC2r3BnieedO7Lu44nQ+ui1w
zUD/pyemPvwWitceevE5E/NXmc68v2aMvoc4eIilwOnnVJ6YHMmOx5n2yw2mV+PUuJiOTUSp+ifu
skQutz/9YXGBoDkR0i7QuXKCy9B1L0O5a8ZLakxFJgl52u+j3qMFPTQ6SDGi1k8vN89MY+GeVKnz
POcyy5IxeXN+nVXwzY+57vRpzqSh3IDgRm+DVjCBc6D1mkLycWYsHafT5uKMbece7lwsoP0wZLwu
KK9CLloIGpMuDfPOmCt4EpfdzB5XvXKifwVOkqybz/8Pore3V5TA6hQutXJxWw3yxbdBUSXlWvEB
WQH56U1GG/s++/d+aRMf1S/0xjR4vxgP/vE//gsDuJ2oKPPouQQqRu7BW128/OONSccgRtty0asX
W731H9dJfNapXngCUgtUIODJAPu/GiLDQTK8Grz9uOXiiRk1QIYBX91ejZLJEz9Y6u9s8ec/c23U
P//O3/8JW5Zoawam+bQZ+Ds/WsHyYOmBzXfNJwQaYssK+pHpQlmic+cw0rC6qv7zVqjZEB44yU9b
gnW2TAFoFJw7g4NrDpc9U7TJHCzGT2zwUCsal0aawlE2BaEGI5fog+ioEK9Cje1NYRzBp6kx5WCT
GTHuwtFppCX+reOxvSlgx7JI/SzbgELCQPhzb1MYOjTVuBAmMSzHXdv+P+wl6s7H+huthxJ+O+DP
OEw2BYqGZMi4AQOIrfBc7LgKw9AchmWF0qjB5wO+D3VXwUcnxWIMmfo72il7poCNBGQu9OWNdhXG
bqbz6WtUXIVpkaPqumVQKZFCzdausI40ExQvtvpdQWmkr7D5hmoXiBwQWGD4c8EOkqLZxChbpjAQ
d5KED07ORvsKY7fY9uldodtH0Jm1mdJkvEDc4+4B0Y4g52ESU2cYD6cpg5KN3BWSFivvCpmyYRwF
AmqL8iI3xNaugNyIZN4WVjahXxSOgWaa4hA3SJtPTsHeXQXU8tW3TGExwcuAmrgLb6WY1khDSClF
bU/ozhH3qLBGUe+1JZbcMUSbYjUHxIXok0FGuDwbuieElUPRFOYRgx6agRQUhXaJu/dMwQ8MatYy
t93cTWGoW8I78igIGjAI0qbQYVDdsQSOAtVVDIUv4TfebN+8UFOE6hQ3BToAhutKjKnZK27pHVOs
SqEaADv03Fa01w09HzJbp2gKFHUgyHEgvuMOES3JHVPIrmAIDBnJBu+Iw4SZ/JXC3sAJoFW2Ywbz
SBfa440TaazHNHdVNz4fW7m0CNDcgObI0snSZXxu6xbV0dfQoask/SA0h4WuoYdDaAsUDwcu0+Wm
tPGHGMMjWNuyhHBIkaXRMGny1SEc2Wp2IPOw0M6zuTs4H6RbfPItQ3DJMpWKN4Uxq8n+UqaC1Uwh
mYfJeCjpN9VbvvxuEtY+cpDQhTeM4ulb740nNu8WNQ+ReVDeJryE4NOSC2K/YEPTV7ZFs+NtKTQp
bgrnCHfoETgRSlO4FMbvrfOBvoZsCcAXHBPxmasnNnBTqLc9KGiSipqcAV2HAkBEQbZMQZECl2mS
p8HyjVbA2vgNNIV6wO0gccieMOEHphUPY+COKcjCqHTSDaDqyT3S2F2xJyvx+ZgCqRip0ZFnvQUN
e6bAEMiRr+tWjS3XiICkmqvgKqWgL3z8goqw0czYswRNMMemZkNaSlyxLgY073xIDKBsCnqfEK2B
UuEeBUW+Ywqd6MumPoH4D3XN5p6PPa3Uz58PXAXgG9jjAEqhlK7tek2axYyjoGpHLZzAo7FtIMmb
lHcFtKp4C8Qu1sWrnV2x8qocEdT9XIrgAm7iiQ08IIcwBXsf2Q+EPTglVOx2TGEdodnFxfGWuQs7
fSNNYapHWB4dY4oTGnU6KPCg9NwxBXLCSDvSMLbeWPwbagpLPT/3jqhW0vWgAQK0br9lbOI2jTZ4
rIYfEBHmVPMVKNAx6UZADSfSWiJuZ1foK4wNOBaANuIq1k9snq94a8oodM+BG8nF4JmoVdAglOxu
K+zmfFCvAUoB29wKLtrU86GclpKhC5gIUCy+U0rZfPQdU1DmNiltkb02+QKx1u5cZVMQdmvAr3AS
rrlKMXZMYcFbC9IAPPAagtbU82Erm0JKWCbpOUQ/dIFq7lKDZIw9AfRqDZluqimkHKvmNcUU8A+J
UhdzKTiM3RSEuJuomwwF9icuXZlXaWRY4SpnYzRKod+02hDdwr5PG3A3RUf/h+KWbVvYgj6iUD42
0hRvUbCKr3CkUYoeF4VN2kGrKaUdtwlelWLGmxZ3Y9uDlvquQGuP/iDVXQzB3nD3L1NJzSHvsmwZ
9WospEK4x9R8BWEFBwDc3QZFs7MlEOSlLQiLUaP7gxICKNqBCi8KpnBTcATQpN9LxXAUNt1BhOXZ
OVSyGusolLNS2RLoolDgpawJygRG++34iv4g54a+IQoqrsiuNNRn2uqpGDgbmkEgUsEUcY+IvObW
AQHdjgQc1S1XqP+bW6uwD9EihESR1AK8HfJL+w1068h2OD/2WlahsbeHqxxeSVK6qsqQg8DSL9fR
1p6gaUz4BdiI4v+b2mAjQwpbORMj0ARDYBFhUc/mnMgu2zKFRdUTtnjges3OxKTxr3Z/YArRiASg
SdQN4H+vfmUgNElMvpmCaWwHREDHaqZYVSoscO10ACX5EIz41q6ggw4bK6ZagZybW7SRWQ1FU9jU
ryjrelhBoofd64MGITMf1DTBddMdaGx99y0tUsk+qO+aUJohqLoWnt8t2ui0lRmPWk86r31088p4
Egqp7QhxmcCT2REMYq8k63YOhy1xJpEGYYXkaI31E6JboGwKtI5AJdL7WHFq7Obm1LlJPeQAGRv4
CU9s4K5Qvj0IKYRYhHCbZJRvL7DPLZcpAsaEmZSvBOzdXBSzaBur7QoqNkgrW+gsrYJMWhw7ptCO
dLITXCY9kDcelkbuijdnruIzGWeg3QX4EGC7IxrUe6agX7yxU2Mjbkc5osBp2sC4Ke0SeDsiv7Vj
COBXAPZosINU04i8m9ondZWdJsEVsCqgI8x/rBul+6ag4k+YCRRtlX+sDmTznOYbwkHleFDFoxVG
bu7pm+hpy2nKOB1ddbAG0g7gLm2qKdTvD+oUgPsBVJB6Ai2SqbMtU+iAVvGqDspGwk/V2KjCUz8g
FPJgt5FhBsblrJW615YpwGcJSg2Q8xpz1NhdcRC3STcMdCLlWxQv96BoDqO1aFaCxAEA3+DJQZn+
VIwqPGbPaZXSBnK1Fb5k54DQPgeqxgwlDRKQWI2defAOsSvahJJSxuM+tW1tNxMzj4gvGURmVobg
u7mV7j1Kv0+j8iQZE0QqATXfnmLFbv1KppDBdBNarPukn/AV/8KN+5sY5ySMkpcVJU40KOqYc/7u
FzYsMPs//0h4s6J52fpV4chZP33NiyP//c9typxVnvXhp5u8a/Wot3//9jfuP33rYZs/bPN/nkeD
3M+fw8XqB4u3N732R5Dq/G/iP4eVv8VSs6JUEyaO97fZ5/f57R7+tPqxHw/yzTofuIC4LQ+w9mKz
yoeVCUTVV879l9csf9ks9WF5/OIBlh9M/drVcTUHWB2Jm9rVSWaUVz/xkzCr0s1KHyxDhqC+eujn
SVaWg81aH9YnQVdfPyrzqtgs9L64jPipL574NRtSRubUl86ShDO8WenDix/ikJ5kSTV6imp8gGDe
lF/+r8iHbrTjv9R8VUnZlR/QGdxlZbZZ6INxDnFYoeaP6l78EEe1U039pOa9D3FQT4tn/28+6iFO
ajfxg6R2Rx7inHZzP0WXsMbNCNhXecOc+S/Fy6Bu9UMc1rMoeQ5ziPA2b/q+IwWfq/72CUepxolJ
A0x98Sp53Szz4b0PcUzPcQP1pM8CwFN+83MuvUHNSRWwhPrig/Qlr/Hu0oo+wOJ56qcvNR7MOsRR
PY8CdAfSl7otc4jDeh4lSfGU5VkVhBtrvG8dgYSoWyhLRnVbXtIH5cUv0pfIT798i6Z1/kxqWMqP
6PnPMfqqm5U+WOcQZ7Y3eH0dIKlTt/4hDu6V/+ovBrVRmVBwKVvniiRhs8wH0xzi3F7VeQTpMqu/
9KDW3oc4sFeDaY2rkY6w+ltHT4O8rFldmovKq//lv0S121D4LQ+weuqXdd/TOcQR/cvPo7ov6hzi
hLJ4WRfNSPNO3S5Zmmc1B0jaU8qLX/tF4Vebhd5Pp7SYlBf/GvtJlhU1iYe0/Q+w/GDwHGZPtXvm
EAf1K2FqUGf5QxzVr8XzIEtqbCMtLWXb3PjJ6MvxgNrPZrH3byuNogM8oHiuiWiEyVN97SgdJIlf
E9AIrlx9+SyJN8t8sMohzupNherFqGbxQ5zVOz8t/S/fag+U8GcoG+bOz/0iK+v25CHO690ABvEs
qTlQMg6g/vbll14WpnW75hDn9a78clU919UKpMWm/vbVqKyLT4Wc8gCLz/w0rfOTwkmgvPy9v0iy
fLPQ+5ESdJ7y4t/T2ntbEAnKa/+gMlbUFcakP6a8+oMfV7ixzUof7HKIw/pHhaUVN389b/+/VNd/
8Is/K6r8+QF1bYzfOLP95saGgL/un203b+Q3npOBn//z/wAAAP//</cx:binary>
              </cx:geoCache>
            </cx:geography>
          </cx:layoutPr>
        </cx:series>
      </cx:plotAreaRegion>
    </cx:plotArea>
    <cx:legend pos="t" align="ctr" overlay="0"/>
  </cx:chart>
  <cx:spPr>
    <a:noFill/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sunburst" uniqueId="{5605936A-DDB2-401D-BBF8-D8FDB38DD1A7}">
          <cx:dataId val="0"/>
        </cx:series>
      </cx:plotAreaRegion>
    </cx:plotArea>
    <cx:legend pos="b" align="ctr" overlay="0"/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microsoft.com/office/2014/relationships/chartEx" Target="../charts/chartEx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9525</xdr:rowOff>
        </xdr:from>
        <xdr:to>
          <xdr:col>5</xdr:col>
          <xdr:colOff>533400</xdr:colOff>
          <xdr:row>19</xdr:row>
          <xdr:rowOff>28575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12</xdr:row>
          <xdr:rowOff>0</xdr:rowOff>
        </xdr:from>
        <xdr:to>
          <xdr:col>10</xdr:col>
          <xdr:colOff>619125</xdr:colOff>
          <xdr:row>19</xdr:row>
          <xdr:rowOff>52388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</xdr:row>
      <xdr:rowOff>19049</xdr:rowOff>
    </xdr:from>
    <xdr:to>
      <xdr:col>11</xdr:col>
      <xdr:colOff>47624</xdr:colOff>
      <xdr:row>11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75" y="380999"/>
          <a:ext cx="6877049" cy="170497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>
              <a:solidFill>
                <a:schemeClr val="tx1"/>
              </a:solidFill>
            </a:rPr>
            <a:t>Welcome!</a:t>
          </a:r>
        </a:p>
        <a:p>
          <a:pPr algn="ctr"/>
          <a:r>
            <a:rPr lang="en-US" sz="4400">
              <a:solidFill>
                <a:schemeClr val="tx1"/>
              </a:solidFill>
            </a:rPr>
            <a:t>What</a:t>
          </a:r>
          <a:r>
            <a:rPr lang="en-US" sz="4400" baseline="0">
              <a:solidFill>
                <a:schemeClr val="tx1"/>
              </a:solidFill>
            </a:rPr>
            <a:t> would you like to do?</a:t>
          </a:r>
          <a:endParaRPr lang="en-US" sz="4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123825</xdr:rowOff>
        </xdr:from>
        <xdr:to>
          <xdr:col>8</xdr:col>
          <xdr:colOff>266700</xdr:colOff>
          <xdr:row>28</xdr:row>
          <xdr:rowOff>0</xdr:rowOff>
        </xdr:to>
        <xdr:sp macro="" textlink="">
          <xdr:nvSpPr>
            <xdr:cNvPr id="6149" name="CommandButton3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157161</xdr:colOff>
      <xdr:row>0</xdr:row>
      <xdr:rowOff>171451</xdr:rowOff>
    </xdr:from>
    <xdr:to>
      <xdr:col>13</xdr:col>
      <xdr:colOff>495300</xdr:colOff>
      <xdr:row>20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9525</xdr:rowOff>
    </xdr:from>
    <xdr:to>
      <xdr:col>11</xdr:col>
      <xdr:colOff>581025</xdr:colOff>
      <xdr:row>5</xdr:row>
      <xdr:rowOff>38100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9525"/>
          <a:ext cx="8064104" cy="921544"/>
          <a:chOff x="2905126" y="152400"/>
          <a:chExt cx="8420100" cy="904876"/>
        </a:xfrm>
        <a:solidFill>
          <a:srgbClr val="AF27A5"/>
        </a:solidFill>
      </xdr:grpSpPr>
      <xdr:sp macro="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/>
        </xdr:nvSpPr>
        <xdr:spPr>
          <a:xfrm>
            <a:off x="2905126" y="152400"/>
            <a:ext cx="8420100" cy="761999"/>
          </a:xfrm>
          <a:prstGeom prst="flowChartAlternateProcess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3695699" y="171450"/>
            <a:ext cx="7569094" cy="8858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5400">
                <a:solidFill>
                  <a:schemeClr val="bg1"/>
                </a:solidFill>
              </a:rPr>
              <a:t> Calls Dashboard</a:t>
            </a:r>
          </a:p>
        </xdr:txBody>
      </xdr:sp>
    </xdr:grpSp>
    <xdr:clientData/>
  </xdr:twoCellAnchor>
  <xdr:twoCellAnchor>
    <xdr:from>
      <xdr:col>0</xdr:col>
      <xdr:colOff>46827</xdr:colOff>
      <xdr:row>4</xdr:row>
      <xdr:rowOff>171450</xdr:rowOff>
    </xdr:from>
    <xdr:to>
      <xdr:col>1</xdr:col>
      <xdr:colOff>619125</xdr:colOff>
      <xdr:row>19</xdr:row>
      <xdr:rowOff>133350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46827" y="885825"/>
          <a:ext cx="1256908" cy="2640806"/>
          <a:chOff x="466724" y="1228726"/>
          <a:chExt cx="1969620" cy="1447799"/>
        </a:xfrm>
        <a:solidFill>
          <a:schemeClr val="accent6">
            <a:lumMod val="60000"/>
            <a:lumOff val="40000"/>
          </a:schemeClr>
        </a:solidFill>
      </xdr:grpSpPr>
      <xdr:sp macro="" textlink="'Formula calls by month'!I2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466724" y="1924049"/>
            <a:ext cx="1962152" cy="752476"/>
          </a:xfrm>
          <a:prstGeom prst="roundRect">
            <a:avLst/>
          </a:prstGeom>
          <a:grpFill/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909B5C-8391-4F5B-BDE7-B71F71247EED}" type="TxLink">
              <a:rPr lang="en-US" sz="2400" b="0" i="0" u="none" strike="noStrike">
                <a:solidFill>
                  <a:schemeClr val="bg1"/>
                </a:solidFill>
                <a:latin typeface="Tw Cen MT"/>
                <a:cs typeface="Calibri"/>
              </a:rPr>
              <a:pPr algn="ctr"/>
              <a:t>5</a:t>
            </a:fld>
            <a:endParaRPr lang="en-US" sz="2400" b="1">
              <a:solidFill>
                <a:schemeClr val="bg1"/>
              </a:solidFill>
            </a:endParaRPr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467974" y="1228726"/>
            <a:ext cx="1968370" cy="606938"/>
          </a:xfrm>
          <a:prstGeom prst="roundRect">
            <a:avLst/>
          </a:prstGeom>
          <a:grpFill/>
          <a:ln>
            <a:solidFill>
              <a:schemeClr val="accent6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>
                <a:solidFill>
                  <a:schemeClr val="bg1"/>
                </a:solidFill>
              </a:rPr>
              <a:t>Total</a:t>
            </a:r>
            <a:r>
              <a:rPr lang="en-US" sz="1800" b="1" baseline="0">
                <a:solidFill>
                  <a:schemeClr val="bg1"/>
                </a:solidFill>
              </a:rPr>
              <a:t> Calls</a:t>
            </a:r>
            <a:endParaRPr lang="en-US" sz="18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47625</xdr:colOff>
      <xdr:row>6</xdr:row>
      <xdr:rowOff>171450</xdr:rowOff>
    </xdr:from>
    <xdr:to>
      <xdr:col>7</xdr:col>
      <xdr:colOff>19049</xdr:colOff>
      <xdr:row>22</xdr:row>
      <xdr:rowOff>171451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5</xdr:row>
      <xdr:rowOff>19050</xdr:rowOff>
    </xdr:from>
    <xdr:to>
      <xdr:col>7</xdr:col>
      <xdr:colOff>19050</xdr:colOff>
      <xdr:row>6</xdr:row>
      <xdr:rowOff>123825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419225" y="923925"/>
          <a:ext cx="3467100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Service</a:t>
          </a:r>
        </a:p>
      </xdr:txBody>
    </xdr:sp>
    <xdr:clientData/>
  </xdr:twoCellAnchor>
  <xdr:twoCellAnchor>
    <xdr:from>
      <xdr:col>7</xdr:col>
      <xdr:colOff>76199</xdr:colOff>
      <xdr:row>5</xdr:row>
      <xdr:rowOff>19050</xdr:rowOff>
    </xdr:from>
    <xdr:to>
      <xdr:col>11</xdr:col>
      <xdr:colOff>581024</xdr:colOff>
      <xdr:row>6</xdr:row>
      <xdr:rowOff>161925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4876799" y="923925"/>
          <a:ext cx="324802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County</a:t>
          </a:r>
        </a:p>
      </xdr:txBody>
    </xdr:sp>
    <xdr:clientData/>
  </xdr:twoCellAnchor>
  <xdr:twoCellAnchor>
    <xdr:from>
      <xdr:col>0</xdr:col>
      <xdr:colOff>38101</xdr:colOff>
      <xdr:row>25</xdr:row>
      <xdr:rowOff>95250</xdr:rowOff>
    </xdr:from>
    <xdr:to>
      <xdr:col>5</xdr:col>
      <xdr:colOff>438151</xdr:colOff>
      <xdr:row>36</xdr:row>
      <xdr:rowOff>38101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95250</xdr:colOff>
      <xdr:row>7</xdr:row>
      <xdr:rowOff>9525</xdr:rowOff>
    </xdr:from>
    <xdr:to>
      <xdr:col>11</xdr:col>
      <xdr:colOff>571500</xdr:colOff>
      <xdr:row>23</xdr:row>
      <xdr:rowOff>38101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7" name="Chart 32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95850" y="1243013"/>
              <a:ext cx="3219450" cy="28479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47625</xdr:colOff>
      <xdr:row>23</xdr:row>
      <xdr:rowOff>114300</xdr:rowOff>
    </xdr:from>
    <xdr:to>
      <xdr:col>5</xdr:col>
      <xdr:colOff>438150</xdr:colOff>
      <xdr:row>25</xdr:row>
      <xdr:rowOff>38100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47625" y="4276725"/>
          <a:ext cx="3819525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Year</a:t>
          </a:r>
        </a:p>
      </xdr:txBody>
    </xdr:sp>
    <xdr:clientData/>
  </xdr:twoCellAnchor>
  <xdr:twoCellAnchor>
    <xdr:from>
      <xdr:col>5</xdr:col>
      <xdr:colOff>542924</xdr:colOff>
      <xdr:row>23</xdr:row>
      <xdr:rowOff>104775</xdr:rowOff>
    </xdr:from>
    <xdr:to>
      <xdr:col>11</xdr:col>
      <xdr:colOff>571500</xdr:colOff>
      <xdr:row>25</xdr:row>
      <xdr:rowOff>28575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3971924" y="4267200"/>
          <a:ext cx="4143376" cy="2857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 b="1"/>
            <a:t>Calls</a:t>
          </a:r>
          <a:r>
            <a:rPr lang="en-US" sz="1200"/>
            <a:t> </a:t>
          </a:r>
          <a:r>
            <a:rPr lang="en-US" sz="1200" b="1"/>
            <a:t>by</a:t>
          </a:r>
          <a:r>
            <a:rPr lang="en-US" sz="1200"/>
            <a:t> </a:t>
          </a:r>
          <a:r>
            <a:rPr lang="en-US" sz="1200" b="1"/>
            <a:t>Month</a:t>
          </a:r>
        </a:p>
      </xdr:txBody>
    </xdr:sp>
    <xdr:clientData/>
  </xdr:twoCellAnchor>
  <xdr:twoCellAnchor>
    <xdr:from>
      <xdr:col>5</xdr:col>
      <xdr:colOff>533400</xdr:colOff>
      <xdr:row>25</xdr:row>
      <xdr:rowOff>76200</xdr:rowOff>
    </xdr:from>
    <xdr:to>
      <xdr:col>11</xdr:col>
      <xdr:colOff>571499</xdr:colOff>
      <xdr:row>36</xdr:row>
      <xdr:rowOff>38101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0" name="Chart 2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62400" y="4481513"/>
              <a:ext cx="4152899" cy="1900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0</xdr:row>
          <xdr:rowOff>142875</xdr:rowOff>
        </xdr:from>
        <xdr:to>
          <xdr:col>14</xdr:col>
          <xdr:colOff>295275</xdr:colOff>
          <xdr:row>2</xdr:row>
          <xdr:rowOff>161925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41727-FA83-43EC-BAE6-D92B9A207A8B}">
  <sheetPr codeName="Sheet6"/>
  <dimension ref="A1"/>
  <sheetViews>
    <sheetView tabSelected="1" zoomScale="70" zoomScaleNormal="70" workbookViewId="0">
      <selection activeCell="N27" sqref="N27"/>
    </sheetView>
  </sheetViews>
  <sheetFormatPr defaultRowHeight="13.9" x14ac:dyDescent="0.4"/>
  <cols>
    <col min="1" max="16384" width="9" style="15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ommandButton3">
          <controlPr defaultSize="0" autoLine="0" r:id="rId5">
            <anchor moveWithCells="1">
              <from>
                <xdr:col>3</xdr:col>
                <xdr:colOff>419100</xdr:colOff>
                <xdr:row>20</xdr:row>
                <xdr:rowOff>123825</xdr:rowOff>
              </from>
              <to>
                <xdr:col>8</xdr:col>
                <xdr:colOff>266700</xdr:colOff>
                <xdr:row>28</xdr:row>
                <xdr:rowOff>0</xdr:rowOff>
              </to>
            </anchor>
          </controlPr>
        </control>
      </mc:Choice>
      <mc:Fallback>
        <control shapeId="6149" r:id="rId4" name="CommandButton3"/>
      </mc:Fallback>
    </mc:AlternateContent>
    <mc:AlternateContent xmlns:mc="http://schemas.openxmlformats.org/markup-compatibility/2006">
      <mc:Choice Requires="x14">
        <control shapeId="6145" r:id="rId6" name="CommandButton1">
          <controlPr defaultSize="0" autoLine="0" autoPict="0" r:id="rId7">
            <anchor moveWithCells="1">
              <from>
                <xdr:col>1</xdr:col>
                <xdr:colOff>0</xdr:colOff>
                <xdr:row>12</xdr:row>
                <xdr:rowOff>9525</xdr:rowOff>
              </from>
              <to>
                <xdr:col>5</xdr:col>
                <xdr:colOff>533400</xdr:colOff>
                <xdr:row>19</xdr:row>
                <xdr:rowOff>28575</xdr:rowOff>
              </to>
            </anchor>
          </controlPr>
        </control>
      </mc:Choice>
      <mc:Fallback>
        <control shapeId="6145" r:id="rId6" name="CommandButton1"/>
      </mc:Fallback>
    </mc:AlternateContent>
    <mc:AlternateContent xmlns:mc="http://schemas.openxmlformats.org/markup-compatibility/2006">
      <mc:Choice Requires="x14">
        <control shapeId="6147" r:id="rId8" name="CommandButton2">
          <controlPr defaultSize="0" autoLine="0" r:id="rId9">
            <anchor moveWithCells="1">
              <from>
                <xdr:col>6</xdr:col>
                <xdr:colOff>85725</xdr:colOff>
                <xdr:row>12</xdr:row>
                <xdr:rowOff>0</xdr:rowOff>
              </from>
              <to>
                <xdr:col>10</xdr:col>
                <xdr:colOff>619125</xdr:colOff>
                <xdr:row>19</xdr:row>
                <xdr:rowOff>52388</xdr:rowOff>
              </to>
            </anchor>
          </controlPr>
        </control>
      </mc:Choice>
      <mc:Fallback>
        <control shapeId="6147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16A25-FBCF-45E8-ACA3-E0416C759D63}">
  <sheetPr codeName="Sheet1"/>
  <dimension ref="A1:L19"/>
  <sheetViews>
    <sheetView zoomScale="80" zoomScaleNormal="80" workbookViewId="0">
      <selection activeCell="E14" sqref="E14"/>
    </sheetView>
  </sheetViews>
  <sheetFormatPr defaultRowHeight="13.9" x14ac:dyDescent="0.4"/>
  <cols>
    <col min="1" max="1" width="12" style="1" customWidth="1"/>
    <col min="2" max="2" width="16.25" customWidth="1"/>
    <col min="3" max="3" width="18.25" customWidth="1"/>
    <col min="4" max="4" width="20.25" customWidth="1"/>
    <col min="5" max="5" width="19.5" customWidth="1"/>
    <col min="6" max="6" width="23.625" style="4" customWidth="1"/>
    <col min="7" max="7" width="44.375" style="4" customWidth="1"/>
    <col min="9" max="9" width="11.25" style="11" customWidth="1"/>
    <col min="10" max="10" width="20.125" customWidth="1"/>
    <col min="11" max="11" width="36.5" style="13" customWidth="1"/>
    <col min="12" max="12" width="24.5" customWidth="1"/>
  </cols>
  <sheetData>
    <row r="1" spans="1:12" x14ac:dyDescent="0.4">
      <c r="A1" s="5" t="s">
        <v>2</v>
      </c>
      <c r="B1" s="2" t="s">
        <v>3</v>
      </c>
      <c r="C1" s="2" t="s">
        <v>4</v>
      </c>
      <c r="D1" s="2" t="s">
        <v>5</v>
      </c>
      <c r="E1" s="2" t="s">
        <v>0</v>
      </c>
      <c r="F1" s="3" t="s">
        <v>6</v>
      </c>
      <c r="G1" s="3" t="s">
        <v>1</v>
      </c>
      <c r="H1" s="2" t="s">
        <v>7</v>
      </c>
      <c r="I1" s="10" t="s">
        <v>111</v>
      </c>
      <c r="J1" s="2" t="s">
        <v>112</v>
      </c>
      <c r="K1" s="12" t="s">
        <v>113</v>
      </c>
      <c r="L1" s="2" t="s">
        <v>114</v>
      </c>
    </row>
    <row r="2" spans="1:12" x14ac:dyDescent="0.4">
      <c r="A2" s="1">
        <v>44458</v>
      </c>
      <c r="B2" t="s">
        <v>115</v>
      </c>
      <c r="C2" t="s">
        <v>116</v>
      </c>
      <c r="D2" t="s">
        <v>117</v>
      </c>
      <c r="E2" t="s">
        <v>24</v>
      </c>
      <c r="F2" t="s">
        <v>18</v>
      </c>
      <c r="G2" t="s">
        <v>118</v>
      </c>
      <c r="H2">
        <v>1</v>
      </c>
      <c r="I2" s="14">
        <v>0.35416666666666669</v>
      </c>
      <c r="J2" t="s">
        <v>119</v>
      </c>
      <c r="K2" t="s">
        <v>120</v>
      </c>
      <c r="L2" t="s">
        <v>121</v>
      </c>
    </row>
    <row r="3" spans="1:12" x14ac:dyDescent="0.4">
      <c r="F3"/>
      <c r="G3"/>
      <c r="I3" s="14"/>
      <c r="K3"/>
    </row>
    <row r="4" spans="1:12" x14ac:dyDescent="0.4">
      <c r="F4"/>
      <c r="G4"/>
      <c r="I4" s="14"/>
      <c r="K4"/>
    </row>
    <row r="5" spans="1:12" x14ac:dyDescent="0.4">
      <c r="F5"/>
      <c r="G5"/>
      <c r="I5" s="14"/>
      <c r="K5"/>
    </row>
    <row r="19" customFormat="1" x14ac:dyDescent="0.4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DED37-155C-4206-A33E-53E7BB98018F}">
  <sheetPr codeName="Sheet4"/>
  <dimension ref="A1:C68"/>
  <sheetViews>
    <sheetView workbookViewId="0">
      <selection activeCell="C70" sqref="C70"/>
    </sheetView>
  </sheetViews>
  <sheetFormatPr defaultRowHeight="13.9" x14ac:dyDescent="0.4"/>
  <cols>
    <col min="1" max="3" width="15.5" customWidth="1"/>
    <col min="5" max="7" width="8"/>
  </cols>
  <sheetData>
    <row r="1" spans="1:3" x14ac:dyDescent="0.4">
      <c r="A1" t="s">
        <v>13</v>
      </c>
      <c r="B1" t="s">
        <v>0</v>
      </c>
      <c r="C1" t="s">
        <v>16</v>
      </c>
    </row>
    <row r="2" spans="1:3" x14ac:dyDescent="0.4">
      <c r="A2" t="s">
        <v>14</v>
      </c>
      <c r="B2" t="s">
        <v>20</v>
      </c>
      <c r="C2">
        <f>COUNTIF(Data!E:E,B2)</f>
        <v>0</v>
      </c>
    </row>
    <row r="3" spans="1:3" x14ac:dyDescent="0.4">
      <c r="A3" t="s">
        <v>14</v>
      </c>
      <c r="B3" t="s">
        <v>21</v>
      </c>
      <c r="C3">
        <f>COUNTIF(Data!E:E,B3)</f>
        <v>0</v>
      </c>
    </row>
    <row r="4" spans="1:3" x14ac:dyDescent="0.4">
      <c r="A4" t="s">
        <v>14</v>
      </c>
      <c r="B4" t="s">
        <v>22</v>
      </c>
      <c r="C4">
        <f>COUNTIF(Data!E:E,B4)</f>
        <v>0</v>
      </c>
    </row>
    <row r="5" spans="1:3" x14ac:dyDescent="0.4">
      <c r="A5" t="s">
        <v>14</v>
      </c>
      <c r="B5" t="s">
        <v>23</v>
      </c>
      <c r="C5">
        <f>COUNTIF(Data!E:E,B5)</f>
        <v>0</v>
      </c>
    </row>
    <row r="6" spans="1:3" x14ac:dyDescent="0.4">
      <c r="A6" t="s">
        <v>14</v>
      </c>
      <c r="B6" t="s">
        <v>24</v>
      </c>
      <c r="C6">
        <f>COUNTIF(Data!E:E,B6)</f>
        <v>1</v>
      </c>
    </row>
    <row r="7" spans="1:3" x14ac:dyDescent="0.4">
      <c r="A7" t="s">
        <v>14</v>
      </c>
      <c r="B7" t="s">
        <v>25</v>
      </c>
      <c r="C7">
        <f>COUNTIF(Data!E:E,B7)</f>
        <v>0</v>
      </c>
    </row>
    <row r="8" spans="1:3" x14ac:dyDescent="0.4">
      <c r="A8" t="s">
        <v>14</v>
      </c>
      <c r="B8" t="s">
        <v>26</v>
      </c>
      <c r="C8">
        <f>COUNTIF(Data!E:E,B8)</f>
        <v>0</v>
      </c>
    </row>
    <row r="9" spans="1:3" x14ac:dyDescent="0.4">
      <c r="A9" t="s">
        <v>14</v>
      </c>
      <c r="B9" t="s">
        <v>27</v>
      </c>
      <c r="C9">
        <f>COUNTIF(Data!E:E,B9)</f>
        <v>0</v>
      </c>
    </row>
    <row r="10" spans="1:3" x14ac:dyDescent="0.4">
      <c r="A10" t="s">
        <v>14</v>
      </c>
      <c r="B10" t="s">
        <v>28</v>
      </c>
      <c r="C10">
        <f>COUNTIF(Data!E:E,B10)</f>
        <v>0</v>
      </c>
    </row>
    <row r="11" spans="1:3" x14ac:dyDescent="0.4">
      <c r="A11" t="s">
        <v>14</v>
      </c>
      <c r="B11" t="s">
        <v>29</v>
      </c>
      <c r="C11">
        <f>COUNTIF(Data!E:E,B11)</f>
        <v>0</v>
      </c>
    </row>
    <row r="12" spans="1:3" x14ac:dyDescent="0.4">
      <c r="A12" t="s">
        <v>14</v>
      </c>
      <c r="B12" t="s">
        <v>30</v>
      </c>
      <c r="C12">
        <f>COUNTIF(Data!E:E,B12)</f>
        <v>0</v>
      </c>
    </row>
    <row r="13" spans="1:3" x14ac:dyDescent="0.4">
      <c r="A13" t="s">
        <v>14</v>
      </c>
      <c r="B13" t="s">
        <v>31</v>
      </c>
      <c r="C13">
        <f>COUNTIF(Data!E:E,B13)</f>
        <v>0</v>
      </c>
    </row>
    <row r="14" spans="1:3" x14ac:dyDescent="0.4">
      <c r="A14" t="s">
        <v>14</v>
      </c>
      <c r="B14" t="s">
        <v>32</v>
      </c>
      <c r="C14">
        <f>COUNTIF(Data!E:E,B14)</f>
        <v>0</v>
      </c>
    </row>
    <row r="15" spans="1:3" x14ac:dyDescent="0.4">
      <c r="A15" t="s">
        <v>14</v>
      </c>
      <c r="B15" t="s">
        <v>33</v>
      </c>
      <c r="C15">
        <f>COUNTIF(Data!E:E,B15)</f>
        <v>0</v>
      </c>
    </row>
    <row r="16" spans="1:3" x14ac:dyDescent="0.4">
      <c r="A16" t="s">
        <v>14</v>
      </c>
      <c r="B16" t="s">
        <v>34</v>
      </c>
      <c r="C16">
        <f>COUNTIF(Data!E:E,B16)</f>
        <v>0</v>
      </c>
    </row>
    <row r="17" spans="1:3" x14ac:dyDescent="0.4">
      <c r="A17" t="s">
        <v>14</v>
      </c>
      <c r="B17" t="s">
        <v>35</v>
      </c>
      <c r="C17">
        <f>COUNTIF(Data!E:E,B17)</f>
        <v>0</v>
      </c>
    </row>
    <row r="18" spans="1:3" x14ac:dyDescent="0.4">
      <c r="A18" t="s">
        <v>14</v>
      </c>
      <c r="B18" t="s">
        <v>36</v>
      </c>
      <c r="C18">
        <f>COUNTIF(Data!E:E,B18)</f>
        <v>0</v>
      </c>
    </row>
    <row r="19" spans="1:3" x14ac:dyDescent="0.4">
      <c r="A19" t="s">
        <v>14</v>
      </c>
      <c r="B19" t="s">
        <v>37</v>
      </c>
      <c r="C19">
        <f>COUNTIF(Data!E:E,B19)</f>
        <v>0</v>
      </c>
    </row>
    <row r="20" spans="1:3" x14ac:dyDescent="0.4">
      <c r="A20" t="s">
        <v>14</v>
      </c>
      <c r="B20" t="s">
        <v>38</v>
      </c>
      <c r="C20">
        <f>COUNTIF(Data!E:E,B20)</f>
        <v>0</v>
      </c>
    </row>
    <row r="21" spans="1:3" x14ac:dyDescent="0.4">
      <c r="A21" t="s">
        <v>14</v>
      </c>
      <c r="B21" t="s">
        <v>39</v>
      </c>
      <c r="C21">
        <f>COUNTIF(Data!E:E,B21)</f>
        <v>0</v>
      </c>
    </row>
    <row r="22" spans="1:3" x14ac:dyDescent="0.4">
      <c r="A22" t="s">
        <v>14</v>
      </c>
      <c r="B22" t="s">
        <v>40</v>
      </c>
      <c r="C22">
        <f>COUNTIF(Data!E:E,B22)</f>
        <v>0</v>
      </c>
    </row>
    <row r="23" spans="1:3" x14ac:dyDescent="0.4">
      <c r="A23" t="s">
        <v>14</v>
      </c>
      <c r="B23" t="s">
        <v>41</v>
      </c>
      <c r="C23">
        <f>COUNTIF(Data!E:E,B23)</f>
        <v>0</v>
      </c>
    </row>
    <row r="24" spans="1:3" x14ac:dyDescent="0.4">
      <c r="A24" t="s">
        <v>14</v>
      </c>
      <c r="B24" t="s">
        <v>42</v>
      </c>
      <c r="C24">
        <f>COUNTIF(Data!E:E,B24)</f>
        <v>0</v>
      </c>
    </row>
    <row r="25" spans="1:3" x14ac:dyDescent="0.4">
      <c r="A25" t="s">
        <v>14</v>
      </c>
      <c r="B25" t="s">
        <v>43</v>
      </c>
      <c r="C25">
        <f>COUNTIF(Data!E:E,B25)</f>
        <v>0</v>
      </c>
    </row>
    <row r="26" spans="1:3" x14ac:dyDescent="0.4">
      <c r="A26" t="s">
        <v>14</v>
      </c>
      <c r="B26" t="s">
        <v>44</v>
      </c>
      <c r="C26">
        <f>COUNTIF(Data!E:E,B26)</f>
        <v>0</v>
      </c>
    </row>
    <row r="27" spans="1:3" x14ac:dyDescent="0.4">
      <c r="A27" t="s">
        <v>14</v>
      </c>
      <c r="B27" t="s">
        <v>45</v>
      </c>
      <c r="C27">
        <f>COUNTIF(Data!E:E,B27)</f>
        <v>0</v>
      </c>
    </row>
    <row r="28" spans="1:3" x14ac:dyDescent="0.4">
      <c r="A28" t="s">
        <v>14</v>
      </c>
      <c r="B28" t="s">
        <v>46</v>
      </c>
      <c r="C28">
        <f>COUNTIF(Data!E:E,B28)</f>
        <v>0</v>
      </c>
    </row>
    <row r="29" spans="1:3" x14ac:dyDescent="0.4">
      <c r="A29" t="s">
        <v>14</v>
      </c>
      <c r="B29" t="s">
        <v>47</v>
      </c>
      <c r="C29">
        <f>COUNTIF(Data!E:E,B29)</f>
        <v>0</v>
      </c>
    </row>
    <row r="30" spans="1:3" x14ac:dyDescent="0.4">
      <c r="A30" t="s">
        <v>14</v>
      </c>
      <c r="B30" t="s">
        <v>48</v>
      </c>
      <c r="C30">
        <f>COUNTIF(Data!E:E,B30)</f>
        <v>0</v>
      </c>
    </row>
    <row r="31" spans="1:3" x14ac:dyDescent="0.4">
      <c r="A31" t="s">
        <v>14</v>
      </c>
      <c r="B31" t="s">
        <v>49</v>
      </c>
      <c r="C31">
        <f>COUNTIF(Data!E:E,B31)</f>
        <v>0</v>
      </c>
    </row>
    <row r="32" spans="1:3" x14ac:dyDescent="0.4">
      <c r="A32" t="s">
        <v>14</v>
      </c>
      <c r="B32" t="s">
        <v>50</v>
      </c>
      <c r="C32">
        <f>COUNTIF(Data!E:E,B32)</f>
        <v>0</v>
      </c>
    </row>
    <row r="33" spans="1:3" x14ac:dyDescent="0.4">
      <c r="A33" t="s">
        <v>14</v>
      </c>
      <c r="B33" t="s">
        <v>51</v>
      </c>
      <c r="C33">
        <f>COUNTIF(Data!E:E,B33)</f>
        <v>0</v>
      </c>
    </row>
    <row r="34" spans="1:3" x14ac:dyDescent="0.4">
      <c r="A34" t="s">
        <v>14</v>
      </c>
      <c r="B34" t="s">
        <v>52</v>
      </c>
      <c r="C34">
        <f>COUNTIF(Data!E:E,B34)</f>
        <v>0</v>
      </c>
    </row>
    <row r="35" spans="1:3" x14ac:dyDescent="0.4">
      <c r="A35" t="s">
        <v>14</v>
      </c>
      <c r="B35" t="s">
        <v>53</v>
      </c>
      <c r="C35">
        <f>COUNTIF(Data!E:E,B35)</f>
        <v>0</v>
      </c>
    </row>
    <row r="36" spans="1:3" x14ac:dyDescent="0.4">
      <c r="A36" t="s">
        <v>14</v>
      </c>
      <c r="B36" t="s">
        <v>54</v>
      </c>
      <c r="C36">
        <f>COUNTIF(Data!E:E,B36)</f>
        <v>0</v>
      </c>
    </row>
    <row r="37" spans="1:3" x14ac:dyDescent="0.4">
      <c r="A37" t="s">
        <v>14</v>
      </c>
      <c r="B37" t="s">
        <v>11</v>
      </c>
      <c r="C37">
        <f>COUNTIF(Data!E:E,B37)</f>
        <v>0</v>
      </c>
    </row>
    <row r="38" spans="1:3" x14ac:dyDescent="0.4">
      <c r="A38" t="s">
        <v>14</v>
      </c>
      <c r="B38" t="s">
        <v>55</v>
      </c>
      <c r="C38">
        <f>COUNTIF(Data!E:E,B38)</f>
        <v>0</v>
      </c>
    </row>
    <row r="39" spans="1:3" x14ac:dyDescent="0.4">
      <c r="A39" t="s">
        <v>14</v>
      </c>
      <c r="B39" t="s">
        <v>56</v>
      </c>
      <c r="C39">
        <f>COUNTIF(Data!E:E,B39)</f>
        <v>0</v>
      </c>
    </row>
    <row r="40" spans="1:3" x14ac:dyDescent="0.4">
      <c r="A40" t="s">
        <v>14</v>
      </c>
      <c r="B40" t="s">
        <v>57</v>
      </c>
      <c r="C40">
        <f>COUNTIF(Data!E:E,B40)</f>
        <v>0</v>
      </c>
    </row>
    <row r="41" spans="1:3" x14ac:dyDescent="0.4">
      <c r="A41" t="s">
        <v>14</v>
      </c>
      <c r="B41" t="s">
        <v>58</v>
      </c>
      <c r="C41">
        <f>COUNTIF(Data!E:E,B41)</f>
        <v>0</v>
      </c>
    </row>
    <row r="42" spans="1:3" x14ac:dyDescent="0.4">
      <c r="A42" t="s">
        <v>14</v>
      </c>
      <c r="B42" t="s">
        <v>59</v>
      </c>
      <c r="C42">
        <f>COUNTIF(Data!E:E,B42)</f>
        <v>0</v>
      </c>
    </row>
    <row r="43" spans="1:3" x14ac:dyDescent="0.4">
      <c r="A43" t="s">
        <v>14</v>
      </c>
      <c r="B43" t="s">
        <v>60</v>
      </c>
      <c r="C43">
        <f>COUNTIF(Data!E:E,B43)</f>
        <v>0</v>
      </c>
    </row>
    <row r="44" spans="1:3" x14ac:dyDescent="0.4">
      <c r="A44" t="s">
        <v>14</v>
      </c>
      <c r="B44" t="s">
        <v>61</v>
      </c>
      <c r="C44">
        <f>COUNTIF(Data!E:E,B44)</f>
        <v>0</v>
      </c>
    </row>
    <row r="45" spans="1:3" x14ac:dyDescent="0.4">
      <c r="A45" t="s">
        <v>14</v>
      </c>
      <c r="B45" t="s">
        <v>62</v>
      </c>
      <c r="C45">
        <f>COUNTIF(Data!E:E,B45)</f>
        <v>0</v>
      </c>
    </row>
    <row r="46" spans="1:3" x14ac:dyDescent="0.4">
      <c r="A46" t="s">
        <v>14</v>
      </c>
      <c r="B46" t="s">
        <v>63</v>
      </c>
      <c r="C46">
        <f>COUNTIF(Data!E:E,B46)</f>
        <v>0</v>
      </c>
    </row>
    <row r="47" spans="1:3" x14ac:dyDescent="0.4">
      <c r="A47" t="s">
        <v>14</v>
      </c>
      <c r="B47" t="s">
        <v>64</v>
      </c>
      <c r="C47">
        <f>COUNTIF(Data!E:E,B47)</f>
        <v>0</v>
      </c>
    </row>
    <row r="48" spans="1:3" x14ac:dyDescent="0.4">
      <c r="A48" t="s">
        <v>14</v>
      </c>
      <c r="B48" t="s">
        <v>65</v>
      </c>
      <c r="C48">
        <f>COUNTIF(Data!E:E,B48)</f>
        <v>0</v>
      </c>
    </row>
    <row r="49" spans="1:3" x14ac:dyDescent="0.4">
      <c r="A49" t="s">
        <v>14</v>
      </c>
      <c r="B49" t="s">
        <v>66</v>
      </c>
      <c r="C49">
        <f>COUNTIF(Data!E:E,B49)</f>
        <v>0</v>
      </c>
    </row>
    <row r="50" spans="1:3" x14ac:dyDescent="0.4">
      <c r="A50" t="s">
        <v>14</v>
      </c>
      <c r="B50" t="s">
        <v>67</v>
      </c>
      <c r="C50">
        <f>COUNTIF(Data!E:E,B50)</f>
        <v>0</v>
      </c>
    </row>
    <row r="51" spans="1:3" x14ac:dyDescent="0.4">
      <c r="A51" t="s">
        <v>14</v>
      </c>
      <c r="B51" t="s">
        <v>68</v>
      </c>
      <c r="C51">
        <f>COUNTIF(Data!E:E,B51)</f>
        <v>0</v>
      </c>
    </row>
    <row r="52" spans="1:3" x14ac:dyDescent="0.4">
      <c r="A52" t="s">
        <v>14</v>
      </c>
      <c r="B52" t="s">
        <v>69</v>
      </c>
      <c r="C52">
        <f>COUNTIF(Data!E:E,B52)</f>
        <v>0</v>
      </c>
    </row>
    <row r="53" spans="1:3" x14ac:dyDescent="0.4">
      <c r="A53" t="s">
        <v>14</v>
      </c>
      <c r="B53" t="s">
        <v>70</v>
      </c>
      <c r="C53">
        <f>COUNTIF(Data!E:E,B53)</f>
        <v>0</v>
      </c>
    </row>
    <row r="54" spans="1:3" x14ac:dyDescent="0.4">
      <c r="A54" t="s">
        <v>14</v>
      </c>
      <c r="B54" t="s">
        <v>71</v>
      </c>
      <c r="C54">
        <f>COUNTIF(Data!E:E,B54)</f>
        <v>0</v>
      </c>
    </row>
    <row r="55" spans="1:3" x14ac:dyDescent="0.4">
      <c r="A55" t="s">
        <v>14</v>
      </c>
      <c r="B55" t="s">
        <v>72</v>
      </c>
      <c r="C55">
        <f>COUNTIF(Data!E:E,B55)</f>
        <v>0</v>
      </c>
    </row>
    <row r="56" spans="1:3" x14ac:dyDescent="0.4">
      <c r="A56" t="s">
        <v>14</v>
      </c>
      <c r="B56" t="s">
        <v>82</v>
      </c>
      <c r="C56">
        <f>COUNTIF(Data!E:E,B56)</f>
        <v>0</v>
      </c>
    </row>
    <row r="57" spans="1:3" x14ac:dyDescent="0.4">
      <c r="A57" t="s">
        <v>14</v>
      </c>
      <c r="B57" t="s">
        <v>83</v>
      </c>
      <c r="C57">
        <f>COUNTIF(Data!E:E,B57)</f>
        <v>0</v>
      </c>
    </row>
    <row r="58" spans="1:3" x14ac:dyDescent="0.4">
      <c r="A58" t="s">
        <v>14</v>
      </c>
      <c r="B58" t="s">
        <v>73</v>
      </c>
      <c r="C58">
        <f>COUNTIF(Data!E:E,B58)</f>
        <v>0</v>
      </c>
    </row>
    <row r="59" spans="1:3" x14ac:dyDescent="0.4">
      <c r="A59" t="s">
        <v>14</v>
      </c>
      <c r="B59" t="s">
        <v>74</v>
      </c>
      <c r="C59">
        <f>COUNTIF(Data!E:E,B59)</f>
        <v>0</v>
      </c>
    </row>
    <row r="60" spans="1:3" x14ac:dyDescent="0.4">
      <c r="A60" t="s">
        <v>14</v>
      </c>
      <c r="B60" t="s">
        <v>75</v>
      </c>
      <c r="C60">
        <f>COUNTIF(Data!E:E,B60)</f>
        <v>0</v>
      </c>
    </row>
    <row r="61" spans="1:3" x14ac:dyDescent="0.4">
      <c r="A61" t="s">
        <v>14</v>
      </c>
      <c r="B61" t="s">
        <v>76</v>
      </c>
      <c r="C61">
        <f>COUNTIF(Data!E:E,B61)</f>
        <v>0</v>
      </c>
    </row>
    <row r="62" spans="1:3" x14ac:dyDescent="0.4">
      <c r="A62" t="s">
        <v>14</v>
      </c>
      <c r="B62" t="s">
        <v>77</v>
      </c>
      <c r="C62">
        <f>COUNTIF(Data!E:E,B62)</f>
        <v>0</v>
      </c>
    </row>
    <row r="63" spans="1:3" x14ac:dyDescent="0.4">
      <c r="A63" t="s">
        <v>14</v>
      </c>
      <c r="B63" t="s">
        <v>78</v>
      </c>
      <c r="C63">
        <f>COUNTIF(Data!E:E,B63)</f>
        <v>0</v>
      </c>
    </row>
    <row r="64" spans="1:3" x14ac:dyDescent="0.4">
      <c r="A64" t="s">
        <v>14</v>
      </c>
      <c r="B64" t="s">
        <v>79</v>
      </c>
      <c r="C64">
        <f>COUNTIF(Data!E:E,B64)</f>
        <v>0</v>
      </c>
    </row>
    <row r="65" spans="1:3" x14ac:dyDescent="0.4">
      <c r="A65" t="s">
        <v>14</v>
      </c>
      <c r="B65" t="s">
        <v>15</v>
      </c>
      <c r="C65">
        <f>COUNTIF(Data!E:E,B65)</f>
        <v>0</v>
      </c>
    </row>
    <row r="66" spans="1:3" x14ac:dyDescent="0.4">
      <c r="A66" t="s">
        <v>14</v>
      </c>
      <c r="B66" t="s">
        <v>10</v>
      </c>
      <c r="C66">
        <f>COUNTIF(Data!E:E,B66)</f>
        <v>0</v>
      </c>
    </row>
    <row r="67" spans="1:3" x14ac:dyDescent="0.4">
      <c r="A67" t="s">
        <v>14</v>
      </c>
      <c r="B67" t="s">
        <v>80</v>
      </c>
      <c r="C67">
        <f>COUNTIF(Data!E:E,B67)</f>
        <v>0</v>
      </c>
    </row>
    <row r="68" spans="1:3" x14ac:dyDescent="0.4">
      <c r="A68" t="s">
        <v>14</v>
      </c>
      <c r="B68" t="s">
        <v>81</v>
      </c>
      <c r="C68">
        <f>COUNTIF(Data!E:E,B68)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39DD-B00F-4E34-999A-9B39E6F07271}">
  <sheetPr codeName="Sheet2"/>
  <dimension ref="A1:B15"/>
  <sheetViews>
    <sheetView workbookViewId="0">
      <selection activeCell="A19" sqref="A19"/>
    </sheetView>
  </sheetViews>
  <sheetFormatPr defaultRowHeight="13.9" x14ac:dyDescent="0.4"/>
  <cols>
    <col min="1" max="1" width="23.875" customWidth="1"/>
  </cols>
  <sheetData>
    <row r="1" spans="1:2" x14ac:dyDescent="0.4">
      <c r="A1" t="s">
        <v>12</v>
      </c>
      <c r="B1" t="s">
        <v>16</v>
      </c>
    </row>
    <row r="2" spans="1:2" x14ac:dyDescent="0.4">
      <c r="A2" t="s">
        <v>84</v>
      </c>
      <c r="B2">
        <f>COUNTIF(Data!F:F,A2)</f>
        <v>0</v>
      </c>
    </row>
    <row r="3" spans="1:2" x14ac:dyDescent="0.4">
      <c r="A3" t="s">
        <v>85</v>
      </c>
      <c r="B3">
        <f>COUNTIF(Data!F:F,A3)</f>
        <v>0</v>
      </c>
    </row>
    <row r="4" spans="1:2" x14ac:dyDescent="0.4">
      <c r="A4" t="s">
        <v>8</v>
      </c>
      <c r="B4">
        <f>COUNTIF(Data!F:F,A4)</f>
        <v>0</v>
      </c>
    </row>
    <row r="5" spans="1:2" x14ac:dyDescent="0.4">
      <c r="A5" t="s">
        <v>18</v>
      </c>
      <c r="B5">
        <f>COUNTIF(Data!F:F,A5)</f>
        <v>1</v>
      </c>
    </row>
    <row r="6" spans="1:2" x14ac:dyDescent="0.4">
      <c r="A6" t="s">
        <v>86</v>
      </c>
      <c r="B6">
        <f>COUNTIF(Data!F:F,A6)</f>
        <v>0</v>
      </c>
    </row>
    <row r="7" spans="1:2" x14ac:dyDescent="0.4">
      <c r="A7" t="s">
        <v>17</v>
      </c>
      <c r="B7">
        <f>COUNTIF(Data!F:F,A7)</f>
        <v>0</v>
      </c>
    </row>
    <row r="8" spans="1:2" x14ac:dyDescent="0.4">
      <c r="A8" t="s">
        <v>9</v>
      </c>
      <c r="B8">
        <f>COUNTIF(Data!F:F,A8)</f>
        <v>0</v>
      </c>
    </row>
    <row r="9" spans="1:2" x14ac:dyDescent="0.4">
      <c r="A9" t="s">
        <v>19</v>
      </c>
      <c r="B9">
        <f>COUNTIF(Data!F:F,A9)</f>
        <v>0</v>
      </c>
    </row>
    <row r="10" spans="1:2" x14ac:dyDescent="0.4">
      <c r="A10" t="s">
        <v>87</v>
      </c>
      <c r="B10">
        <f>COUNTIF(Data!F:F,A10)</f>
        <v>0</v>
      </c>
    </row>
    <row r="11" spans="1:2" x14ac:dyDescent="0.4">
      <c r="A11" t="s">
        <v>88</v>
      </c>
      <c r="B11">
        <f>COUNTIF(Data!F:F,A11)</f>
        <v>0</v>
      </c>
    </row>
    <row r="12" spans="1:2" x14ac:dyDescent="0.4">
      <c r="A12" t="s">
        <v>89</v>
      </c>
      <c r="B12">
        <f>COUNTIF(Data!F:F,A12)</f>
        <v>0</v>
      </c>
    </row>
    <row r="13" spans="1:2" x14ac:dyDescent="0.4">
      <c r="A13" t="s">
        <v>90</v>
      </c>
      <c r="B13">
        <f>COUNTIF(Data!F:F,A13)</f>
        <v>0</v>
      </c>
    </row>
    <row r="14" spans="1:2" x14ac:dyDescent="0.4">
      <c r="A14" t="s">
        <v>91</v>
      </c>
      <c r="B14">
        <f>COUNTIF(Data!F:F,A14)</f>
        <v>0</v>
      </c>
    </row>
    <row r="15" spans="1:2" x14ac:dyDescent="0.4">
      <c r="A15" t="s">
        <v>92</v>
      </c>
      <c r="B15">
        <f>COUNTIF(Data!F:F,A15)</f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05E3-8004-431D-953D-2A518A613965}">
  <sheetPr codeName="Sheet5"/>
  <dimension ref="A1:J48"/>
  <sheetViews>
    <sheetView workbookViewId="0">
      <selection activeCell="A2" sqref="A2:D2"/>
    </sheetView>
  </sheetViews>
  <sheetFormatPr defaultRowHeight="13.9" x14ac:dyDescent="0.4"/>
  <cols>
    <col min="1" max="1" width="17.25" style="7" customWidth="1"/>
    <col min="2" max="5" width="14.25" customWidth="1"/>
    <col min="6" max="6" width="14.875" customWidth="1"/>
    <col min="7" max="7" width="10.625" customWidth="1"/>
    <col min="9" max="10" width="10" customWidth="1"/>
  </cols>
  <sheetData>
    <row r="1" spans="1:10" ht="13.5" customHeight="1" x14ac:dyDescent="0.4">
      <c r="A1" s="9" t="s">
        <v>7</v>
      </c>
      <c r="B1" s="2" t="s">
        <v>2</v>
      </c>
      <c r="C1" s="2" t="s">
        <v>93</v>
      </c>
      <c r="D1" s="2" t="s">
        <v>94</v>
      </c>
      <c r="E1" s="2"/>
      <c r="F1" s="2"/>
      <c r="G1" s="2"/>
      <c r="H1" s="2"/>
      <c r="I1" s="2"/>
      <c r="J1" s="2"/>
    </row>
    <row r="2" spans="1:10" x14ac:dyDescent="0.4">
      <c r="A2">
        <v>1</v>
      </c>
      <c r="B2" s="1">
        <v>44455</v>
      </c>
      <c r="C2" t="str">
        <f>TEXT(B2,"mmmm")</f>
        <v>September</v>
      </c>
      <c r="D2">
        <f>YEAR(B2)</f>
        <v>2021</v>
      </c>
      <c r="I2" s="2"/>
    </row>
    <row r="3" spans="1:10" x14ac:dyDescent="0.4">
      <c r="A3">
        <v>2</v>
      </c>
      <c r="B3" s="1">
        <v>43967</v>
      </c>
      <c r="C3" t="str">
        <f>TEXT(B3,"mmmm")</f>
        <v>May</v>
      </c>
      <c r="D3">
        <f>YEAR(B3)</f>
        <v>2020</v>
      </c>
    </row>
    <row r="4" spans="1:10" x14ac:dyDescent="0.4">
      <c r="A4">
        <v>3</v>
      </c>
      <c r="B4" s="1">
        <v>43512</v>
      </c>
      <c r="C4" t="str">
        <f>TEXT(B4,"mmmm")</f>
        <v>February</v>
      </c>
      <c r="D4">
        <f>YEAR(B4)</f>
        <v>2019</v>
      </c>
    </row>
    <row r="5" spans="1:10" x14ac:dyDescent="0.4">
      <c r="A5">
        <v>4</v>
      </c>
      <c r="B5" s="1">
        <v>43116</v>
      </c>
      <c r="C5" t="str">
        <f>TEXT(B5,"mmmm")</f>
        <v>January</v>
      </c>
      <c r="D5">
        <f>YEAR(B5)</f>
        <v>2018</v>
      </c>
    </row>
    <row r="6" spans="1:10" x14ac:dyDescent="0.4">
      <c r="A6" s="7">
        <v>1</v>
      </c>
      <c r="B6" s="1">
        <v>44458</v>
      </c>
      <c r="C6" t="str">
        <f>TEXT(B6,"mmmm")</f>
        <v>September</v>
      </c>
      <c r="D6">
        <f>YEAR(B6)</f>
        <v>2021</v>
      </c>
    </row>
    <row r="7" spans="1:10" x14ac:dyDescent="0.4">
      <c r="B7" s="1"/>
    </row>
    <row r="8" spans="1:10" ht="15" x14ac:dyDescent="0.4">
      <c r="B8" s="1"/>
      <c r="F8" s="8"/>
    </row>
    <row r="9" spans="1:10" ht="15" x14ac:dyDescent="0.4">
      <c r="B9" s="1"/>
      <c r="F9" s="8"/>
    </row>
    <row r="10" spans="1:10" ht="15" x14ac:dyDescent="0.4">
      <c r="B10" s="1"/>
      <c r="F10" s="8"/>
    </row>
    <row r="11" spans="1:10" ht="15" x14ac:dyDescent="0.4">
      <c r="B11" s="1"/>
      <c r="F11" s="8"/>
    </row>
    <row r="12" spans="1:10" ht="15" x14ac:dyDescent="0.4">
      <c r="B12" s="1"/>
      <c r="F12" s="8"/>
    </row>
    <row r="13" spans="1:10" ht="15" x14ac:dyDescent="0.4">
      <c r="B13" s="1"/>
      <c r="F13" s="8"/>
    </row>
    <row r="14" spans="1:10" ht="15" x14ac:dyDescent="0.4">
      <c r="B14" s="1"/>
      <c r="F14" s="6"/>
      <c r="G14" s="6"/>
    </row>
    <row r="15" spans="1:10" ht="16.5" customHeight="1" x14ac:dyDescent="0.4">
      <c r="B15" s="1"/>
      <c r="F15" s="6"/>
    </row>
    <row r="16" spans="1:10" ht="15" x14ac:dyDescent="0.4">
      <c r="B16" s="1"/>
      <c r="F16" s="6"/>
    </row>
    <row r="17" spans="2:6" ht="15" x14ac:dyDescent="0.4">
      <c r="B17" s="1"/>
      <c r="F17" s="6"/>
    </row>
    <row r="24" spans="2:6" ht="15" x14ac:dyDescent="0.4">
      <c r="F24" s="6"/>
    </row>
    <row r="25" spans="2:6" ht="15" x14ac:dyDescent="0.4">
      <c r="F25" s="6"/>
    </row>
    <row r="26" spans="2:6" ht="15" x14ac:dyDescent="0.4">
      <c r="F26" s="6"/>
    </row>
    <row r="27" spans="2:6" ht="15" x14ac:dyDescent="0.4">
      <c r="F27" s="6"/>
    </row>
    <row r="28" spans="2:6" ht="15" x14ac:dyDescent="0.4">
      <c r="F28" s="6"/>
    </row>
    <row r="48" spans="2:2" x14ac:dyDescent="0.4">
      <c r="B48" s="1"/>
    </row>
  </sheetData>
  <phoneticPr fontId="4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75567-3EE6-4AE5-A67E-8E424D63AFCA}">
  <sheetPr codeName="Sheet8"/>
  <dimension ref="A1:I13"/>
  <sheetViews>
    <sheetView workbookViewId="0">
      <selection activeCell="I2" sqref="I2"/>
    </sheetView>
  </sheetViews>
  <sheetFormatPr defaultRowHeight="13.9" x14ac:dyDescent="0.4"/>
  <sheetData>
    <row r="1" spans="1:9" x14ac:dyDescent="0.4">
      <c r="A1" s="2" t="s">
        <v>95</v>
      </c>
      <c r="B1" s="2" t="s">
        <v>107</v>
      </c>
      <c r="C1" s="2"/>
      <c r="D1" s="2" t="s">
        <v>94</v>
      </c>
      <c r="E1" s="2" t="s">
        <v>108</v>
      </c>
    </row>
    <row r="2" spans="1:9" x14ac:dyDescent="0.4">
      <c r="A2" t="s">
        <v>96</v>
      </c>
      <c r="B2">
        <f>COUNTIF('Calls by Month'!C:C, A2)</f>
        <v>1</v>
      </c>
      <c r="D2">
        <v>2015</v>
      </c>
      <c r="E2">
        <f>COUNTIF('Calls by Month'!D:D,D2)</f>
        <v>0</v>
      </c>
      <c r="H2" s="2" t="s">
        <v>109</v>
      </c>
      <c r="I2">
        <f>SUM(E:E)</f>
        <v>5</v>
      </c>
    </row>
    <row r="3" spans="1:9" x14ac:dyDescent="0.4">
      <c r="A3" t="s">
        <v>97</v>
      </c>
      <c r="B3">
        <f>COUNTIF('Calls by Month'!C:C, A3)</f>
        <v>1</v>
      </c>
      <c r="D3">
        <v>2016</v>
      </c>
      <c r="E3">
        <f>COUNTIF('Calls by Month'!D:D,D3)</f>
        <v>0</v>
      </c>
    </row>
    <row r="4" spans="1:9" x14ac:dyDescent="0.4">
      <c r="A4" t="s">
        <v>98</v>
      </c>
      <c r="B4">
        <f>COUNTIF('Calls by Month'!C:C, A4)</f>
        <v>0</v>
      </c>
      <c r="D4">
        <v>2017</v>
      </c>
      <c r="E4">
        <f>COUNTIF('Calls by Month'!D:D,D4)</f>
        <v>0</v>
      </c>
    </row>
    <row r="5" spans="1:9" x14ac:dyDescent="0.4">
      <c r="A5" t="s">
        <v>99</v>
      </c>
      <c r="B5">
        <f>COUNTIF('Calls by Month'!C:C, A5)</f>
        <v>0</v>
      </c>
      <c r="D5">
        <v>2018</v>
      </c>
      <c r="E5">
        <f>COUNTIF('Calls by Month'!D:D,D5)</f>
        <v>1</v>
      </c>
    </row>
    <row r="6" spans="1:9" x14ac:dyDescent="0.4">
      <c r="A6" t="s">
        <v>100</v>
      </c>
      <c r="B6">
        <f>COUNTIF('Calls by Month'!C:C, A6)</f>
        <v>1</v>
      </c>
      <c r="D6">
        <v>2019</v>
      </c>
      <c r="E6">
        <f>COUNTIF('Calls by Month'!D:D,D6)</f>
        <v>1</v>
      </c>
    </row>
    <row r="7" spans="1:9" x14ac:dyDescent="0.4">
      <c r="A7" t="s">
        <v>101</v>
      </c>
      <c r="B7">
        <f>COUNTIF('Calls by Month'!C:C, A7)</f>
        <v>0</v>
      </c>
      <c r="D7">
        <v>2020</v>
      </c>
      <c r="E7">
        <f>COUNTIF('Calls by Month'!D:D,D7)</f>
        <v>1</v>
      </c>
    </row>
    <row r="8" spans="1:9" ht="15" x14ac:dyDescent="0.4">
      <c r="A8" s="8" t="s">
        <v>110</v>
      </c>
      <c r="B8">
        <f>COUNTIF('Calls by Month'!C:C, A8)</f>
        <v>0</v>
      </c>
      <c r="D8">
        <v>2021</v>
      </c>
      <c r="E8">
        <f>COUNTIF('Calls by Month'!D:D,D8)</f>
        <v>2</v>
      </c>
    </row>
    <row r="9" spans="1:9" ht="15" x14ac:dyDescent="0.4">
      <c r="A9" s="8" t="s">
        <v>102</v>
      </c>
      <c r="B9">
        <f>COUNTIF('Calls by Month'!C:C, A9)</f>
        <v>0</v>
      </c>
      <c r="D9">
        <v>2022</v>
      </c>
      <c r="E9">
        <f>COUNTIF('Calls by Month'!D:D,D9)</f>
        <v>0</v>
      </c>
    </row>
    <row r="10" spans="1:9" ht="15" x14ac:dyDescent="0.4">
      <c r="A10" s="8" t="s">
        <v>103</v>
      </c>
      <c r="B10">
        <f>COUNTIF('Calls by Month'!C:C, A10)</f>
        <v>2</v>
      </c>
      <c r="D10">
        <v>2023</v>
      </c>
      <c r="E10">
        <f>COUNTIF('Calls by Month'!D:D,D10)</f>
        <v>0</v>
      </c>
    </row>
    <row r="11" spans="1:9" ht="15" x14ac:dyDescent="0.4">
      <c r="A11" s="8" t="s">
        <v>104</v>
      </c>
      <c r="B11">
        <f>COUNTIF('Calls by Month'!C:C, A11)</f>
        <v>0</v>
      </c>
      <c r="D11">
        <v>2024</v>
      </c>
      <c r="E11">
        <f>COUNTIF('Calls by Month'!D:D,D11)</f>
        <v>0</v>
      </c>
    </row>
    <row r="12" spans="1:9" ht="15" x14ac:dyDescent="0.4">
      <c r="A12" s="8" t="s">
        <v>105</v>
      </c>
      <c r="B12">
        <f>COUNTIF('Calls by Month'!C:C, A12)</f>
        <v>0</v>
      </c>
      <c r="D12">
        <v>2025</v>
      </c>
      <c r="E12">
        <f>COUNTIF('Calls by Month'!D:D,D12)</f>
        <v>0</v>
      </c>
    </row>
    <row r="13" spans="1:9" ht="15" x14ac:dyDescent="0.4">
      <c r="A13" s="8" t="s">
        <v>106</v>
      </c>
      <c r="B13">
        <f>COUNTIF('Calls by Month'!C:C, A13)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E410B-F76D-402C-B11C-99D03E273335}">
  <sheetPr codeName="Sheet3"/>
  <dimension ref="A1"/>
  <sheetViews>
    <sheetView zoomScale="80" zoomScaleNormal="80" workbookViewId="0">
      <selection activeCell="M15" sqref="M15"/>
    </sheetView>
  </sheetViews>
  <sheetFormatPr defaultRowHeight="13.9" x14ac:dyDescent="0.4"/>
  <cols>
    <col min="1" max="16384" width="9" style="16"/>
  </cols>
  <sheetData/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autoPict="0" r:id="rId5">
            <anchor moveWithCells="1">
              <from>
                <xdr:col>12</xdr:col>
                <xdr:colOff>609600</xdr:colOff>
                <xdr:row>0</xdr:row>
                <xdr:rowOff>142875</xdr:rowOff>
              </from>
              <to>
                <xdr:col>14</xdr:col>
                <xdr:colOff>295275</xdr:colOff>
                <xdr:row>2</xdr:row>
                <xdr:rowOff>161925</xdr:rowOff>
              </to>
            </anchor>
          </controlPr>
        </control>
      </mc:Choice>
      <mc:Fallback>
        <control shapeId="819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</vt:lpstr>
      <vt:lpstr>Data</vt:lpstr>
      <vt:lpstr>Calls_by_County</vt:lpstr>
      <vt:lpstr>Calls_by_Service</vt:lpstr>
      <vt:lpstr>Calls by Month</vt:lpstr>
      <vt:lpstr>Formula calls by month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Castro, Sofia</dc:creator>
  <cp:lastModifiedBy>sindi</cp:lastModifiedBy>
  <dcterms:created xsi:type="dcterms:W3CDTF">2021-07-09T13:48:10Z</dcterms:created>
  <dcterms:modified xsi:type="dcterms:W3CDTF">2021-09-19T17:53:14Z</dcterms:modified>
</cp:coreProperties>
</file>