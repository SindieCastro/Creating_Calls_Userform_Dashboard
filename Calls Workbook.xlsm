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di\Repos\Creating_Calls_Userform_Dashboard\"/>
    </mc:Choice>
  </mc:AlternateContent>
  <xr:revisionPtr revIDLastSave="0" documentId="13_ncr:1_{CD839265-74A9-4BD8-8B3D-8A003FB949D7}" xr6:coauthVersionLast="47" xr6:coauthVersionMax="47" xr10:uidLastSave="{00000000-0000-0000-0000-000000000000}"/>
  <bookViews>
    <workbookView xWindow="-12998" yWindow="8" windowWidth="13096" windowHeight="10395" firstSheet="4" activeTab="6" xr2:uid="{F2B5D1CC-DF8C-43F7-BDC9-65FED6F1A1A2}"/>
  </bookViews>
  <sheets>
    <sheet name="Start" sheetId="8" r:id="rId1"/>
    <sheet name="Data" sheetId="1" r:id="rId2"/>
    <sheet name="Calls_by_County" sheetId="4" r:id="rId3"/>
    <sheet name="Calls_by_Service" sheetId="5" r:id="rId4"/>
    <sheet name="Calls by Month" sheetId="7" r:id="rId5"/>
    <sheet name="Formula calls by month" sheetId="10" r:id="rId6"/>
    <sheet name="Dashboard" sheetId="6" r:id="rId7"/>
  </sheets>
  <definedNames>
    <definedName name="_xlchart.v1.0" hidden="1">'Formula calls by month'!$A$2:$A$13</definedName>
    <definedName name="_xlchart.v1.1" hidden="1">'Formula calls by month'!$B$2:$B$13</definedName>
    <definedName name="_xlchart.v5.2" hidden="1">Calls_by_County!$A$1:$B$1</definedName>
    <definedName name="_xlchart.v5.3" hidden="1">Calls_by_County!$A$2:$B$68</definedName>
    <definedName name="_xlchart.v5.4" hidden="1">Calls_by_County!$C$1</definedName>
    <definedName name="_xlchart.v5.5" hidden="1">Calls_by_County!$C$2:$C$68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7" l="1"/>
  <c r="C6" i="7"/>
  <c r="D5" i="7"/>
  <c r="C5" i="7"/>
  <c r="D4" i="7"/>
  <c r="C4" i="7"/>
  <c r="D3" i="7"/>
  <c r="C3" i="7"/>
  <c r="D2" i="7" l="1"/>
  <c r="C2" i="7"/>
  <c r="E10" i="10" l="1"/>
  <c r="E5" i="10"/>
  <c r="E12" i="10"/>
  <c r="E3" i="10"/>
  <c r="E9" i="10"/>
  <c r="E8" i="10"/>
  <c r="E4" i="10"/>
  <c r="E11" i="10"/>
  <c r="E6" i="10"/>
  <c r="E7" i="10"/>
  <c r="E2" i="10"/>
  <c r="B8" i="10"/>
  <c r="B2" i="10"/>
  <c r="B6" i="10"/>
  <c r="B13" i="10"/>
  <c r="B5" i="10"/>
  <c r="B4" i="10"/>
  <c r="B11" i="10"/>
  <c r="B3" i="10"/>
  <c r="B12" i="10"/>
  <c r="B10" i="10"/>
  <c r="B9" i="10"/>
  <c r="B7" i="10"/>
  <c r="B2" i="5"/>
  <c r="C2" i="4"/>
  <c r="B15" i="5"/>
  <c r="B3" i="5"/>
  <c r="B4" i="5"/>
  <c r="B5" i="5"/>
  <c r="B6" i="5"/>
  <c r="B7" i="5"/>
  <c r="B8" i="5"/>
  <c r="B9" i="5"/>
  <c r="B10" i="5"/>
  <c r="B11" i="5"/>
  <c r="B12" i="5"/>
  <c r="B13" i="5"/>
  <c r="B14" i="5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I2" i="10" l="1"/>
</calcChain>
</file>

<file path=xl/sharedStrings.xml><?xml version="1.0" encoding="utf-8"?>
<sst xmlns="http://schemas.openxmlformats.org/spreadsheetml/2006/main" count="195" uniqueCount="122">
  <si>
    <t>County</t>
  </si>
  <si>
    <t>Outcome</t>
  </si>
  <si>
    <t>Date</t>
  </si>
  <si>
    <t>First Name</t>
  </si>
  <si>
    <t>Last Name</t>
  </si>
  <si>
    <t>Phone Number</t>
  </si>
  <si>
    <t>Service</t>
  </si>
  <si>
    <t>ID</t>
  </si>
  <si>
    <t>Disaster</t>
  </si>
  <si>
    <t>Government &amp; Legal</t>
  </si>
  <si>
    <t>Wakulla</t>
  </si>
  <si>
    <t>Leon</t>
  </si>
  <si>
    <t>Services</t>
  </si>
  <si>
    <t>State</t>
  </si>
  <si>
    <t>Florida</t>
  </si>
  <si>
    <t>Volusia</t>
  </si>
  <si>
    <t>Total</t>
  </si>
  <si>
    <t>Food</t>
  </si>
  <si>
    <t>Education</t>
  </si>
  <si>
    <t>Healthcare &amp; Covid-19</t>
  </si>
  <si>
    <t>Alachua</t>
  </si>
  <si>
    <t>Baker</t>
  </si>
  <si>
    <t>Bay</t>
  </si>
  <si>
    <t>Bradford</t>
  </si>
  <si>
    <t>Brevard</t>
  </si>
  <si>
    <t>Broward</t>
  </si>
  <si>
    <t>Calhoun</t>
  </si>
  <si>
    <t>Charlotte</t>
  </si>
  <si>
    <t>Citrus</t>
  </si>
  <si>
    <t>Clay</t>
  </si>
  <si>
    <t>Collier</t>
  </si>
  <si>
    <t>Columbia</t>
  </si>
  <si>
    <t>DeSoto</t>
  </si>
  <si>
    <t>Dixie</t>
  </si>
  <si>
    <t>Duval</t>
  </si>
  <si>
    <t>Escambia</t>
  </si>
  <si>
    <t>Flagler</t>
  </si>
  <si>
    <t>Franklin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</si>
  <si>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</si>
  <si>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</si>
  <si>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</si>
  <si>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</si>
  <si>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</si>
  <si>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</si>
  <si>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</si>
  <si>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</si>
  <si>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</si>
  <si>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</si>
  <si>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</si>
  <si>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</si>
  <si>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Jackson</t>
  </si>
  <si>
    <t>Jefferson</t>
  </si>
  <si>
    <t>Lafayette</t>
  </si>
  <si>
    <t>Lake</t>
  </si>
  <si>
    <t>Lee</t>
  </si>
  <si>
    <t>Levy</t>
  </si>
  <si>
    <t>Liberty</t>
  </si>
  <si>
    <t>Madison</t>
  </si>
  <si>
    <t>Manatee</t>
  </si>
  <si>
    <t>Marion</t>
  </si>
  <si>
    <t>Martin</t>
  </si>
  <si>
    <t>Miami-Dade</t>
  </si>
  <si>
    <t>Monroe</t>
  </si>
  <si>
    <t>Nassau</t>
  </si>
  <si>
    <t>Okaloosa</t>
  </si>
  <si>
    <t>Okeechobee</t>
  </si>
  <si>
    <t>Orange</t>
  </si>
  <si>
    <t>Osceola</t>
  </si>
  <si>
    <t>Palm Beach</t>
  </si>
  <si>
    <t>Pasco</t>
  </si>
  <si>
    <t>Pinellas</t>
  </si>
  <si>
    <t>Polk</t>
  </si>
  <si>
    <t>Putnam</t>
  </si>
  <si>
    <t>Santa Rosa</t>
  </si>
  <si>
    <t>Sarasota</t>
  </si>
  <si>
    <t>Seminole</t>
  </si>
  <si>
    <t>Sumter</t>
  </si>
  <si>
    <t>Suwannee</t>
  </si>
  <si>
    <t>Taylor</t>
  </si>
  <si>
    <t>Union</t>
  </si>
  <si>
    <t>Walton</t>
  </si>
  <si>
    <t>Washington</t>
  </si>
  <si>
    <t>St.Johns</t>
  </si>
  <si>
    <t>St.Lucie</t>
  </si>
  <si>
    <t>Child Care &amp; Parenting</t>
  </si>
  <si>
    <t>Clothing &amp; Household</t>
  </si>
  <si>
    <t>Employment &amp; Income</t>
  </si>
  <si>
    <t>Housing &amp; Shelter</t>
  </si>
  <si>
    <t>Mental Health</t>
  </si>
  <si>
    <t>Substance Abuse</t>
  </si>
  <si>
    <t>Transportation Assistance</t>
  </si>
  <si>
    <t>Utilities</t>
  </si>
  <si>
    <t>Other</t>
  </si>
  <si>
    <t>Month</t>
  </si>
  <si>
    <t>Year</t>
  </si>
  <si>
    <t>Month list</t>
  </si>
  <si>
    <t>January</t>
  </si>
  <si>
    <t>February</t>
  </si>
  <si>
    <t>March</t>
  </si>
  <si>
    <t>April</t>
  </si>
  <si>
    <t>May</t>
  </si>
  <si>
    <t>June</t>
  </si>
  <si>
    <t>August</t>
  </si>
  <si>
    <t>September</t>
  </si>
  <si>
    <t>October</t>
  </si>
  <si>
    <t>November</t>
  </si>
  <si>
    <t>December</t>
  </si>
  <si>
    <t>Count Month</t>
  </si>
  <si>
    <t>Year Count</t>
  </si>
  <si>
    <t>Total Calls</t>
  </si>
  <si>
    <t>July</t>
  </si>
  <si>
    <t>Time</t>
  </si>
  <si>
    <t>Region</t>
  </si>
  <si>
    <t>ME</t>
  </si>
  <si>
    <t>Staff</t>
  </si>
  <si>
    <t>Jane</t>
  </si>
  <si>
    <t>Doe</t>
  </si>
  <si>
    <t>555-555-5555</t>
  </si>
  <si>
    <t>Caller wanted information about education in her area.</t>
  </si>
  <si>
    <t>Region3</t>
  </si>
  <si>
    <t>Organization3</t>
  </si>
  <si>
    <t>Sofia Homes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</si>
</sst>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2"/>
      <color rgb="FF202124"/>
      <name val="Arial"/>
      <family val="2"/>
    </font>
    <font>
      <sz val="11"/>
      <color theme="8" tint="0.79998168889431442"/>
      <name val="Tw Cen MT"/>
      <family val="2"/>
      <scheme val="minor"/>
    </font>
    <font>
      <sz val="8"/>
      <name val="Tw Cen MT"/>
      <family val="2"/>
      <scheme val="minor"/>
    </font>
    <font>
      <sz val="12"/>
      <color rgb="FF202124"/>
      <name val="Tw Cen M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4" fontId="1" fillId="0" borderId="0" xfId="0" applyNumberFormat="1" applyFont="1"/>
    <xf numFmtId="0" fontId="2" fillId="0" borderId="0" xfId="0" applyFont="1"/>
    <xf numFmtId="0" fontId="0" fillId="0" borderId="0" xfId="0" applyNumberFormat="1"/>
    <xf numFmtId="0" fontId="5" fillId="0" borderId="0" xfId="0" applyFont="1"/>
    <xf numFmtId="0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Font="1" applyAlignment="1"/>
    <xf numFmtId="0" fontId="0" fillId="0" borderId="0" xfId="0" applyAlignment="1"/>
    <xf numFmtId="18" fontId="0" fillId="0" borderId="0" xfId="0" applyNumberFormat="1"/>
    <xf numFmtId="0" fontId="3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F27A5"/>
      <color rgb="FFCA26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Calls</a:t>
            </a:r>
            <a:r>
              <a:rPr lang="en-US" baseline="0"/>
              <a:t> by Service</a:t>
            </a:r>
            <a:endParaRPr lang="en-US"/>
          </a:p>
        </c:rich>
      </c:tx>
      <c:layout>
        <c:manualLayout>
          <c:xMode val="edge"/>
          <c:yMode val="edge"/>
          <c:x val="0.49368361485507239"/>
          <c:y val="4.8426162431262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97659667541558"/>
          <c:y val="2.1257328749399281E-2"/>
          <c:w val="0.63780550205312803"/>
          <c:h val="0.9787426712506007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Calls_by_Service!$B$1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 w="19050">
              <a:solidFill>
                <a:schemeClr val="lt1"/>
              </a:solidFill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Calls_by_Service!$A$2:$A$15</c:f>
              <c:strCache>
                <c:ptCount val="14"/>
                <c:pt idx="0">
                  <c:v>Child Care &amp; Parenting</c:v>
                </c:pt>
                <c:pt idx="1">
                  <c:v>Clothing &amp; Household</c:v>
                </c:pt>
                <c:pt idx="2">
                  <c:v>Disaster</c:v>
                </c:pt>
                <c:pt idx="3">
                  <c:v>Education</c:v>
                </c:pt>
                <c:pt idx="4">
                  <c:v>Employment &amp; Income</c:v>
                </c:pt>
                <c:pt idx="5">
                  <c:v>Food</c:v>
                </c:pt>
                <c:pt idx="6">
                  <c:v>Government &amp; Legal</c:v>
                </c:pt>
                <c:pt idx="7">
                  <c:v>Healthcare &amp; Covid-19</c:v>
                </c:pt>
                <c:pt idx="8">
                  <c:v>Housing &amp; Shelter</c:v>
                </c:pt>
                <c:pt idx="9">
                  <c:v>Mental Health</c:v>
                </c:pt>
                <c:pt idx="10">
                  <c:v>Substance Abuse</c:v>
                </c:pt>
                <c:pt idx="11">
                  <c:v>Transportation Assistance</c:v>
                </c:pt>
                <c:pt idx="12">
                  <c:v>Utilities</c:v>
                </c:pt>
                <c:pt idx="13">
                  <c:v>Other</c:v>
                </c:pt>
              </c:strCache>
            </c:strRef>
          </c:cat>
          <c:val>
            <c:numRef>
              <c:f>Calls_by_Service!$B$2:$B$15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D-40B2-98AC-519780666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112672"/>
        <c:axId val="1306008224"/>
      </c:barChart>
      <c:valAx>
        <c:axId val="130600822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112672"/>
        <c:crosses val="autoZero"/>
        <c:crossBetween val="between"/>
      </c:valAx>
      <c:catAx>
        <c:axId val="116011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0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97659667541558"/>
          <c:y val="2.1257328749399281E-2"/>
          <c:w val="0.63780550205312803"/>
          <c:h val="0.97874267125060077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Calls_by_Service!$B$1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pattFill prst="ltUpDiag">
                <a:fgClr>
                  <a:schemeClr val="accent4">
                    <a:shade val="39000"/>
                  </a:schemeClr>
                </a:fgClr>
                <a:bgClr>
                  <a:schemeClr val="accent4">
                    <a:shade val="39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39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777-4ECD-889E-9469D1A33DEB}"/>
              </c:ext>
            </c:extLst>
          </c:dPt>
          <c:dPt>
            <c:idx val="1"/>
            <c:invertIfNegative val="0"/>
            <c:bubble3D val="0"/>
            <c:spPr>
              <a:pattFill prst="ltUpDiag">
                <a:fgClr>
                  <a:schemeClr val="accent4">
                    <a:shade val="48000"/>
                  </a:schemeClr>
                </a:fgClr>
                <a:bgClr>
                  <a:schemeClr val="accent4">
                    <a:shade val="4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4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777-4ECD-889E-9469D1A33DEB}"/>
              </c:ext>
            </c:extLst>
          </c:dPt>
          <c:dPt>
            <c:idx val="2"/>
            <c:invertIfNegative val="0"/>
            <c:bubble3D val="0"/>
            <c:spPr>
              <a:pattFill prst="ltUpDiag">
                <a:fgClr>
                  <a:schemeClr val="accent4">
                    <a:shade val="58000"/>
                  </a:schemeClr>
                </a:fgClr>
                <a:bgClr>
                  <a:schemeClr val="accent4">
                    <a:shade val="5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5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777-4ECD-889E-9469D1A33DEB}"/>
              </c:ext>
            </c:extLst>
          </c:dPt>
          <c:dPt>
            <c:idx val="3"/>
            <c:invertIfNegative val="0"/>
            <c:bubble3D val="0"/>
            <c:spPr>
              <a:pattFill prst="ltUpDiag">
                <a:fgClr>
                  <a:schemeClr val="accent4">
                    <a:shade val="67000"/>
                  </a:schemeClr>
                </a:fgClr>
                <a:bgClr>
                  <a:schemeClr val="accent4">
                    <a:shade val="67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67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777-4ECD-889E-9469D1A33DEB}"/>
              </c:ext>
            </c:extLst>
          </c:dPt>
          <c:dPt>
            <c:idx val="4"/>
            <c:invertIfNegative val="0"/>
            <c:bubble3D val="0"/>
            <c:spPr>
              <a:pattFill prst="ltUpDiag">
                <a:fgClr>
                  <a:schemeClr val="accent4">
                    <a:shade val="76000"/>
                  </a:schemeClr>
                </a:fgClr>
                <a:bgClr>
                  <a:schemeClr val="accent4">
                    <a:shade val="7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7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777-4ECD-889E-9469D1A33DEB}"/>
              </c:ext>
            </c:extLst>
          </c:dPt>
          <c:dPt>
            <c:idx val="5"/>
            <c:invertIfNegative val="0"/>
            <c:bubble3D val="0"/>
            <c:spPr>
              <a:pattFill prst="ltUpDiag">
                <a:fgClr>
                  <a:schemeClr val="accent4">
                    <a:shade val="86000"/>
                  </a:schemeClr>
                </a:fgClr>
                <a:bgClr>
                  <a:schemeClr val="accent4">
                    <a:shade val="8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8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777-4ECD-889E-9469D1A33DEB}"/>
              </c:ext>
            </c:extLst>
          </c:dPt>
          <c:dPt>
            <c:idx val="6"/>
            <c:invertIfNegative val="0"/>
            <c:bubble3D val="0"/>
            <c:spPr>
              <a:pattFill prst="ltUpDiag">
                <a:fgClr>
                  <a:schemeClr val="accent4">
                    <a:shade val="95000"/>
                  </a:schemeClr>
                </a:fgClr>
                <a:bgClr>
                  <a:schemeClr val="accent4">
                    <a:shade val="9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9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777-4ECD-889E-9469D1A33DEB}"/>
              </c:ext>
            </c:extLst>
          </c:dPt>
          <c:dPt>
            <c:idx val="7"/>
            <c:invertIfNegative val="0"/>
            <c:bubble3D val="0"/>
            <c:spPr>
              <a:pattFill prst="ltUpDiag">
                <a:fgClr>
                  <a:schemeClr val="accent4">
                    <a:tint val="96000"/>
                  </a:schemeClr>
                </a:fgClr>
                <a:bgClr>
                  <a:schemeClr val="accent4">
                    <a:tint val="9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9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777-4ECD-889E-9469D1A33DEB}"/>
              </c:ext>
            </c:extLst>
          </c:dPt>
          <c:dPt>
            <c:idx val="8"/>
            <c:invertIfNegative val="0"/>
            <c:bubble3D val="0"/>
            <c:spPr>
              <a:pattFill prst="ltUpDiag">
                <a:fgClr>
                  <a:schemeClr val="accent4">
                    <a:tint val="86000"/>
                  </a:schemeClr>
                </a:fgClr>
                <a:bgClr>
                  <a:schemeClr val="accent4">
                    <a:tint val="8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8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777-4ECD-889E-9469D1A33DEB}"/>
              </c:ext>
            </c:extLst>
          </c:dPt>
          <c:dPt>
            <c:idx val="9"/>
            <c:invertIfNegative val="0"/>
            <c:bubble3D val="0"/>
            <c:spPr>
              <a:pattFill prst="ltUpDiag">
                <a:fgClr>
                  <a:schemeClr val="accent4">
                    <a:tint val="77000"/>
                  </a:schemeClr>
                </a:fgClr>
                <a:bgClr>
                  <a:schemeClr val="accent4">
                    <a:tint val="77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77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777-4ECD-889E-9469D1A33DEB}"/>
              </c:ext>
            </c:extLst>
          </c:dPt>
          <c:dPt>
            <c:idx val="10"/>
            <c:invertIfNegative val="0"/>
            <c:bubble3D val="0"/>
            <c:spPr>
              <a:pattFill prst="ltUpDiag">
                <a:fgClr>
                  <a:schemeClr val="accent4">
                    <a:tint val="68000"/>
                  </a:schemeClr>
                </a:fgClr>
                <a:bgClr>
                  <a:schemeClr val="accent4">
                    <a:tint val="6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6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777-4ECD-889E-9469D1A33DEB}"/>
              </c:ext>
            </c:extLst>
          </c:dPt>
          <c:dPt>
            <c:idx val="11"/>
            <c:invertIfNegative val="0"/>
            <c:bubble3D val="0"/>
            <c:spPr>
              <a:pattFill prst="ltUpDiag">
                <a:fgClr>
                  <a:schemeClr val="accent4">
                    <a:tint val="58000"/>
                  </a:schemeClr>
                </a:fgClr>
                <a:bgClr>
                  <a:schemeClr val="accent4">
                    <a:tint val="5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5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777-4ECD-889E-9469D1A33DEB}"/>
              </c:ext>
            </c:extLst>
          </c:dPt>
          <c:dPt>
            <c:idx val="12"/>
            <c:invertIfNegative val="0"/>
            <c:bubble3D val="0"/>
            <c:spPr>
              <a:pattFill prst="ltUpDiag">
                <a:fgClr>
                  <a:schemeClr val="accent4">
                    <a:tint val="49000"/>
                  </a:schemeClr>
                </a:fgClr>
                <a:bgClr>
                  <a:schemeClr val="accent4">
                    <a:tint val="49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49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8777-4ECD-889E-9469D1A33DEB}"/>
              </c:ext>
            </c:extLst>
          </c:dPt>
          <c:dPt>
            <c:idx val="13"/>
            <c:invertIfNegative val="0"/>
            <c:bubble3D val="0"/>
            <c:spPr>
              <a:pattFill prst="ltUpDiag">
                <a:fgClr>
                  <a:schemeClr val="accent4">
                    <a:tint val="40000"/>
                  </a:schemeClr>
                </a:fgClr>
                <a:bgClr>
                  <a:schemeClr val="accent4">
                    <a:tint val="4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8777-4ECD-889E-9469D1A33DEB}"/>
              </c:ext>
            </c:extLst>
          </c:dPt>
          <c:cat>
            <c:strRef>
              <c:f>Calls_by_Service!$A$2:$A$15</c:f>
              <c:strCache>
                <c:ptCount val="14"/>
                <c:pt idx="0">
                  <c:v>Child Care &amp; Parenting</c:v>
                </c:pt>
                <c:pt idx="1">
                  <c:v>Clothing &amp; Household</c:v>
                </c:pt>
                <c:pt idx="2">
                  <c:v>Disaster</c:v>
                </c:pt>
                <c:pt idx="3">
                  <c:v>Education</c:v>
                </c:pt>
                <c:pt idx="4">
                  <c:v>Employment &amp; Income</c:v>
                </c:pt>
                <c:pt idx="5">
                  <c:v>Food</c:v>
                </c:pt>
                <c:pt idx="6">
                  <c:v>Government &amp; Legal</c:v>
                </c:pt>
                <c:pt idx="7">
                  <c:v>Healthcare &amp; Covid-19</c:v>
                </c:pt>
                <c:pt idx="8">
                  <c:v>Housing &amp; Shelter</c:v>
                </c:pt>
                <c:pt idx="9">
                  <c:v>Mental Health</c:v>
                </c:pt>
                <c:pt idx="10">
                  <c:v>Substance Abuse</c:v>
                </c:pt>
                <c:pt idx="11">
                  <c:v>Transportation Assistance</c:v>
                </c:pt>
                <c:pt idx="12">
                  <c:v>Utilities</c:v>
                </c:pt>
                <c:pt idx="13">
                  <c:v>Other</c:v>
                </c:pt>
              </c:strCache>
            </c:strRef>
          </c:cat>
          <c:val>
            <c:numRef>
              <c:f>Calls_by_Service!$B$2:$B$15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0-440E-9A69-064494DF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112672"/>
        <c:axId val="1306008224"/>
      </c:barChart>
      <c:valAx>
        <c:axId val="130600822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112672"/>
        <c:crosses val="autoZero"/>
        <c:crossBetween val="between"/>
      </c:valAx>
      <c:catAx>
        <c:axId val="116011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0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'Formula calls by month'!$D$2:$D$12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'Formula calls by month'!$E$2:$E$12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2-4758-99AB-A31FD69852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28968928"/>
        <c:axId val="1459746464"/>
        <c:axId val="0"/>
      </c:bar3DChart>
      <c:catAx>
        <c:axId val="142896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746464"/>
        <c:crosses val="autoZero"/>
        <c:auto val="1"/>
        <c:lblAlgn val="ctr"/>
        <c:lblOffset val="100"/>
        <c:noMultiLvlLbl val="0"/>
      </c:catAx>
      <c:valAx>
        <c:axId val="14597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9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</cx:f>
        <cx:nf>_xlchart.v5.2</cx:nf>
      </cx:strDim>
      <cx:numDim type="colorVal">
        <cx:f>_xlchart.v5.5</cx:f>
        <cx:nf>_xlchart.v5.4</cx:nf>
      </cx:numDim>
    </cx:data>
  </cx:chartData>
  <cx:chart>
    <cx:title pos="t" align="ctr" overlay="0">
      <cx:tx>
        <cx:txData>
          <cx:v>Calls by County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Calls by County</a:t>
          </a:r>
        </a:p>
      </cx:txPr>
    </cx:title>
    <cx:plotArea>
      <cx:plotAreaRegion>
        <cx:plotSurface>
          <cx:spPr>
            <a:noFill/>
          </cx:spPr>
        </cx:plotSurface>
        <cx:series layoutId="regionMap" uniqueId="{7029F34F-D214-4868-8D9C-7E08FEB27F6C}">
          <cx:tx>
            <cx:txData>
              <cx:f>_xlchart.v5.4</cx:f>
              <cx:v>Total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7H3ZbuNItu2vJPL50sXgHI2uBk6QGmzLs3N8IZS2kvM88+vPomQ5JVJpK1U6D1dooNHdVfKOaXHP
O3b8+6n+15O/mKcf6sAPs3891X9/tPM8/tdff2VP9iKYZ2eB85RGWfQzP3uKgr+inz+dp8Vfz+m8
ckLrL4En0l9P9jzNF/XH//wbo1mLaBY9zXMnCu+KRdrcL7LCz7M3ftv504f5c+CEhpPlqfOUk78/
jv0odZ7nH7d/EP7++D/+/Mku8MMizJ28eWzixd8ft6iFjx/+6k8yWNAHH2vOi2cQC/RMkQlVZUUk
KhE1Rf34wY9C6+VnThPOREHmCdVERRJkVSPrya/nAehfVvRBj4owb9a/7VzYclnz5+d0kWXY2fJ/
hwNs7QZHMfvtKbzO+dTN3Z2+BSD+/vgpdPLF84eHfJ4vso8fnCxaLi5t9Kjb8aeH5RH9tY3ff/7d
+xc4tN6/2YC4f8Lv/bQN5FsIs3T+/DNKn988yT+GmEqUF0VVVIkmKGQIMeGBr6AqooK/UOX15CuI
10t6Pe83Pr7dGA9G2APkAc0poaxDivhRni/WJ72TYf4QZuWMakBPEzReEakiaQNOJjzhVUkYQvy6
nsMxHg6xB8hDolNC+WLx8+cizaLwiCiL/JksibxIRcBIqUSkHsrimaYIiqYQWRUERVagEFb8umLm
1zUdjvRwiD2QHhKdEtJs7i3S9UEfgZeBMrgYbKwIlMhAG1q3p5UJAcgqr8iSQBUNvL6J8nI9hyO8
Tb4HutsEp4TswzydZ1F+VJNLPRNFGF2qKIpUk8RO3/bAlUVNVhRZo6IsSwrdBne9pMPxHYywB8QD
mlNCmaVRNT+u0aWcEUEiEMWqSDv7uQ8yf0YkUdZkgZd5WNXCwOharuhwjF+29DrAHhD3SU4JYT3y
feeoMloAwpIqyUTiebhP8I96bEzOVCpLkgZtLSxV8TYbv6zoFaA/tqr7A+yBcJ/klBCeLcq3/c8/
NKfpGbATBJEAYALHCIZUT0rDZSa8KBMYWT3u7dZyOLBb1HuguvX3pwQpmx8TURhVBPKWEKIRReKX
oG0hKp+pIq+JElV4utTK2ybVP0AUG3n9HPYAdPPPTwnPGczktRA8gpUsaGcaLxOFlwVB6jDre7yQ
wCIYWIYhLalDX6hbzissfyx+t6j3AHXr708J1Yk/f+4CbW+c4B+KXuUMXCjJMI9WMam+6CVniFdJ
8HKJpi2BXU++8nFXCzoc2R79Htj2KE4JXZYuyiObxtoZmBXQ8Sqijp0L1NOsPNhalSkcWyouJfU2
vC8rOhzf/gB7ANwnOSWE9blvI4K+PuQjCGZoWrAvnBpBkEWJqLQfcZbPeKlTs7yA1EMXpVpPvmLg
lxUdjnB/gD0Q7pOcFMJOnhZHldDQvCIksKCqMsSwLPe9W2SNJEGTqCqSTpCTXhRSXy7oH+C7Tb8P
vNsUp4TuQ352EdnhUfGlZ1rHnqIK82kJYE9EkzNIZhWu0TIl2Hd/sKIPyyUdjvBwiD1AHhKdEs5f
5l7h+8eMRHYekapqCEAJoqAoCt83tKQz+EE8ZDgvq8gbkl4k8mVFh6PcH2APjPskp4TwdJGG8/A5
WmvDI6hi+EgIIWsIRCH3x/NU7atiSGrkDCHBBYr/QSxjPflKFa+XdDjGgxH2AHlAc1IozwPHz4+e
FSQa4ow8os1q5wv35LVwRiVZBa9TkVe64EcP5Zcl/QOU+yPsg3Kf5pRQvo18b33Ix+Bj9YyCfalK
FKIpsiD2nSZypiEZLGoCFYE0L/bqdLrlHI7uFvUeyG79/SmhqvtHDUmi+ooihEEU2FKwpKnYY1ty
pmgC8sCaKA8jkt1aDod0i3oPSLf+/pQgvZ5n2bw4IqvCqlIUCkkrKJKqIr03DEt2WSNRQ02WxmsI
dKwnX6nc1YIOR7ZHvwe2PYpTQvcmnYfWkYPOyM6LIpJ+q6ztVgoBfpGqoYIOcedddVar1RwObY9+
D2h7FKcE7Xn47MzDD/dOedy8rnqmiJrWiVwebAwce0KZh8VMeVWBz0RRUde3mDeXdTjSO0fZA++d
dKeEOlLYRfDDObYbrHVGFeSx3NVHDq1nBaWzkkx3ZgbXKzoc7MEIewA9oDklkGfOj0X6Tjn5n+WU
upC0CBcJsWZJFAk/iFhKZyiCR5BDIuL6G9hM/76s6HCM+wPsAXGf5JQQNhYPUX7UQId6JhBUsEu4
psFLFInhntiGg4SCDUXReMrDqO47SKsFHY5vj34PeHsUp4TubHHs8IYkoXKdR70crimQQWm7dCao
3QUG1ENrCHT0se2WcziyW9R74Lr196eEquHUzlFNadw9QoWzhOAk6qwUUeg7SiJqKHleQtGOgBss
S728KZOX6zkc123yPYDdJjglZCeF/3PthB4jWIX0EU9lGUaVJi2FbU8Wy2cij1tlsvSS4O+lB7vl
HI7rFvUesG79/SmhahTl3D8irLChcBeQKggjawpVBK1vJyNcJSuwoYhCYWQNAhvL9RyO6zb5HsBu
E5wSsg9FkB/X6UVNjiKihA7XDtYadCuwIZyh1lWWVVnGzSJEn3sxq9WCDse2R78HuD2KU0J3lD3N
j+/iIumDnL5MUf7a5Q96EnlpPYN5JcQld5TUrZd0OMKDEfbAeEBzSiiP/bnlH5eJUbKO5J4G1SoT
QaFyH2RyhpA04RXk9CUN90R7OaKXFR2OcX+APSDuk5wSwjfZ0yI6asEGsvmwhKFdkQtcQdxjY3Im
AX2IZ02CtztA+GVFhyPcH2APhPskp4TwbHFUf0g56+JPAJfCLVJ3ZAM1lFuBe4nKayib7elgLOZw
YDeJ9wB1889PCdCp4/vZjyiNCss+ouUsIHuPu2ICrm3D5dmhfoUz1MvCrhY1srqqsJ78pQpnY1mH
Y7y5uddR9gB7J90poT5GktDznWOWQCOzr8JXknlcAuWRTRr0VUG8WRMJFX5jcK2X9IrTG7crdjfd
GIywB9IDmlNCeTJ/zp4XxwQZDjFiHERBaxVEJlHR3k8VSvi9yxvxkozPYJAqfFnR4Rj3B9gD4j7J
KSF84y0WT3b047haGa4REr6oklVwGUUelnPguoqAQBdB4Bk9GwYdkn4t6nCcd4yxB9Q7qE4J7Ynj
P9kpumatdeVxIpcKNLAkw3Re5v77HC0s7ybh2i8uKO24Uvi6psOxHg6xB9RDolNC+rbIw3lwZJgl
FUlAIC119ZIDNwr9OTSUZq2cqP79htV6Doe4R78Hvj2KUwJ3ituFxxbYKHkX4CDxPErbUcUzQBf3
C5EoRsFl1zun3+9staDD0e3R74Fuj+KU0H1YoLVh5B/VTe6ufePuKMrccTeJl3ZEuXDtjEcKQll1
Z1gLjpUvtV7R4QAPRtgD4gHNKYF8FYVpdFSIYTjjxor4K6U/YGHgj9tpyDHuqIxeredwgHv0e8Db
ozglcKeL8Dlt1jx0DBtLOUOdDhpcoVBWQxcsbcjAXfaQoLcOWjtIg+ZmqwUdjm6Pfg90exSnhO5n
lFNmR62mROSDR/M6iu5mGr9MQwx4Fxf7BbSug4rukhC95P/Lig7Htz/AHgD3SU4J4alj2T5uFWbH
ZGH1DHe74QChtxWuFcra0MSSus5XBGmI9f3hzcqd1zUdjvJwiD1wHhKdEtJX82c0Oz5ygAvyF2EN
AUEsXD0bFmghrIW7wUgpampncq2/sZWp9bKgw0HuD7AHxH2SUwJ4GvnBUTvtIICJNBOs5O4KOJpx
DAor5TNFRaWPIiGtvOpUucXGy/UcDu9qP6/0e6DbozglcC/mT97RuRf9OWQ0G+3q2nEtGPn+raIe
GZFNikTyb/oovazoFZ8/TkH0B9gD4D7JKSE8m/+cN4vjdv0GB6M/AyreEexYdjnra2LU0KpgbgQ6
Xpp1bIvo1zUdjvJwiD1wHhKdEtI33tyPouzIl5RUtExCcYC06tPQj0wrZ+hDidQy8shdzKsfs1wv
6XCcByPsAfOA5pRQvpqneHBizU/H8IwpOlSiJBrRLfjHqOPpF9iiClNElQA6f3c1mIMelasFHY5w
j34PfHsUp4VuiAdEjhrVgtekoQYT95REKGM66N0vdCwMtwpBj+4lln67nav5ckX/BN/tAfYCeJvk
pBB20ICEM9C98pg8jC6yqK/E9WHcRVJ5MnhtBT2XUAu0NLZ3cPDrkv4BysMx9gF6SHVSWOPZpuMW
+KjAkcoKXUPZ943xhAMaL6FYD2GQLowJWb7pO0FyYkH/AOVt+n0Q3qY4JXTR+G1WPB33chqEtYQO
d0AQT3DIgtqPUuMyTNceD1U/sK8RBuuFMbtedMs1HQ7xcIg9UB4SnRLQt3M/+MAWeAVtzU3HMLuQ
kECUEsWZVFgX1m75yZ2PJSHfuHpwB7b1evJVmOvXog7HescYe4C9g+q00M6ejnpHHOXzqMhE21nE
MnkFxR+9gIjQfQgwvhER2XXL6XaO9fwTjDfJ94J3k+CUkH0oqnkYHtW6RiSkyyt1HjLqqJVd1jXK
eVDrg5YuK4m9zcXrJR2O72CEPSAe0JwSyrdOuEDH0iNnnihet8MtNlRo4aap2FfLYGEKu0wVVLjP
wzDIekmHozwYYQ+UBzSnhPLDPMznH+6PHu7C/SVc/yfopCXtuGusooW4iHdZcB+5S1H0X0D7tajD
kd4xxh5Y76A6JbTxuupRY15dAFtASxbEqNGepeu6NdDJaLamwtIGW/PDm8fL9RyO8Tb5HvBuE5wS
so/zBu8Or5XiEexqQIvwBywpAAw/eHgfVTyDNkaVFxyt5VOVMMc2XeTVgg7Htke/B7g9ilNC98v8
+D2HYSwjxiGqqObBAzz97GL3Ah4KQNDpctVyuOc1rRZ0OLo9+j3Q7VGcFrqZjTfKj95VGsYysk0S
bi7B/x3Eq2W8RdtV0b+8N9y/kPplvl7UP0F5MMZeSA+o/j9A++0lbm27e0IcL6P/NiP/p6/Ao0s8
+vWQrhyge+tuRwdEhDK7Jz3Wsno99yoC8vpg/e8X9JtLijtful9t7u3j+L951v33T77jPfjVi/HG
PJ+PwtzJm41X39/+9Tekv4fvVVSeP//9EenA7pFBKMe/NgfaUpXTl1bqa1i26RbzLP/7I6cJZ/B/
YU2jEfxL9rBarH4R0ZAJ99eQOyZ4dGvZHC+M0tz++yOUOOoKkMvoYtnLrhEfP2RR8fKTSNTuOfHu
GTZ0T9Q+rheIBuCNFYWvx/Lyzx/CIriNnDDP/v6Ip70+fohXf9ctFxE21CJhebgxK6CeAVIFvz/N
7yHX8Ofk/8VlmeU+raJpnMgKk5q01gMlrsdyRi4k23yMMy8ccVUo6lXVUCaqyhNX2zazbXptKW2r
p1oYsCyl6Si3zUsza7+4JFX1MM1S3XRti1mlx+sh59pGlls+ExqnZCFxr2qunnfyj+Wm+aMk1UIN
zUvN1mpGMjdngRkuSBVOAo8XmEvrm1ar7VEqOPdhXo/5ILiqsvo25KTvOY1HWSo+mNR5lGniTlzH
mSi29BCYdsRssSWTSqixr0CaJrbzTCrxu10nd57WanorytOIivPCyyvm5+J9ZFceExItm4SeoucB
dhC0WWxQtZ6LdjQvUlqzGNFp3Y6UMe/wCvM1z2OhTSaS7TxIgWmEcvm5qLU7hLA9lkWxzXLPNgSb
nyRtMbKqKJm0cR6y1BK+1qJ3wyWqYLiKeceT5EvI8Y+KG8j3MbW0MGGKHMt1rvtm5Oqp4I49iZ83
bnLNk9pinhpf1qrD61JMZlys3TmZ4o1onvO6h86cU9fzp6olX/CR97VMHY0lhP9cxG0wijnXoLJ2
G4jhl5i4vC56qWygk+OTlBTXalGwxre/pNT9JGTJhVSYEXNt99LK6Yy4mcNyLRZ137Y+K0Hl65Jm
fvFC4db3WpNlljQuK/s779TSheWZBVPC5CL0/buwjX82ElewkiSTomgtVonhY9tmt3nCP8g2Lxi8
2543pahLUazqrcx/I60wTsN21iplyhTOuRFyLtdzyY7Pqdr4hpyQe7u0v4ZRPYpK7muoVg6rVNVl
nhV8b73yk9DQG2B9qzZhpguc/5BbWaWXSb0IS3/i0rDUm5q7V6vyWimINw5qfOluHX91LLdkaq3N
KysWZnEUfKOcHTJecLRRWfoeM53kXs0LwiDfp40cVXoSFTeaF0d60jjXtLTHSRC512CdmLlgZl0q
4xvqaqwRVfcqLQOPiaX1Q9IiPfCqSyegE9P3RwkXTUIST1o/u6j9RGVawo0Lrh1rNnjdBvhuO3EF
81mVqs88Z92SXChZLmqj2OQaJsnNpUgbUQ+18JZ3hYngq/cBcS+ditxFAr1NaKynYaM7ijZt+EJP
ZcoZAV9d+KbrsjhQzjnK20zg80wv5eLKV3kjSutRIDmXiuY+aLl5jyO5TSTTIH5aMbvmfeZ3rKpJ
5izxqK5WfsaKso3HdprdRKHz1fSEmGm59phL6VVql5bexvJ9pTnXZi6ETPaTcRX513GkPMYW7zK/
wJ4cyW+Ben6jFPml5NmWXrrNxOFd+6INnR8SJ95kKikuloL8RdNsCcqnKG5SlGvnK7n5+o//eYwC
/OffHc2vf9npo1//NFlEnS7O+n+0RYNxX+bttNjWPwxU2lqU79R3v/nxzzQatNzvNdrrjdYdKq1T
j79UWvf8LrpxI3uz6vy51ml48wTvueLfSRSOyLI4+UWndc8uoNOZCp2G57fR8gx1yy86DT914+FC
N+FXXSf/TKfBCdrWabiqhmukQtcCQBPwHvi2Tgs54tVJWvhTTnOdiPnwlUtwnxt98YpQnoYaLcko
qWCSjVQ/ucphi986VB1LpsgK4mQsi9NZ6jmP1CJGov2IZPkLpyYhhJUzyRPzvBK5kZtUuicIM0ny
x7I4lwSOpR5hgQPdl8QTmyg3XqyNVTcfmbV/05rxOVeRsWaGVzbhZ64vQ3qniZFq35xG+1Fa4ncp
SKDu8kkTON+asjEkT7jCI3NG1WY/Alc5z2jEqBzqvFOMVZNO6rq4lTgL3FkwqS2vwyZkSumOap4/
dys6SdNypCgppGc0zjjekIg/CdNmZsUFaxX5rvW98xprrTxyq3mRrvolq8XwFrmaMdHu8zi9EE2X
KbxrkFTQlSaBrjGNOhcZr2WMZhaDEnjirWTqpTgd1T5vSMKSNr6BfWXInDcuagplmcysTIHKSNQr
T2z0UIUmq5IpFcRJBUXIbOo8tSm5I1zzJKiWy9S8npWdRCuac9Eq7utMc8D45kwT6Wc5Dm582b3I
ipQ1aXWDOCXQ0G5ru9JJDQEqQK2Y8SRUbUhotZglOWBLbSZzRG/LWCdJM/El51ug5T95Wn4haXMf
NZbNqEsFRuQYe66AZ6h4nt6o7m2ktYZHy5HtcB4LbL9mIh9fqDQahbb8RfN4Q6iEKZXye9d1OJbn
bWA0ovMYuu4FUerLSI0NM3JGrSLZLHAhd1VF98TIZyRR25EW1zgL6IrcFS5lU7q1Eu7cLO1LhAJC
jGYZqVefEzllrUev7VodK5XzaNFqWhXyRKvCS61uOd3PC06PAiiaUmJpbuq0LMeCWuiaEulZHV6T
xhmHRGV57X9OauVzTeOxXARMlEIjkaQRofZUS6tLLfAiJheOy6Tau6Bi9sUsf4bQ+a0cX9iUPtv4
kCNOxR6FmdKqk0QtJm4tjjKbY4GGD9uRVAOVGBZzi4ZVgjSxrHQehZjCq0eNIH9Li0jnBZh9sqtz
1J+1TquXFqcTP/pGA4GpDpcZSiuf26JlkNxTp1IoLuKkmpQpd2m5+WVQVrqcZCOqeWO5pjdtUY2F
ytbVzP1Uwt5gTRte0MQkLBadhRo73zLqzmTNZzTOJoFgf+XL5CbgzXFoxiPOEXTRF5kv+YWu0CiK
mKWE+azg6U/B85UvVpyTO6t25SlfqRbji8ofk8xMIUfiH/9VPkt3qnsr+vfKp/ck6i9vqiNbqx50
8EE7VFiuKMB+ufyyVj3ob9t1DIET85pH3nCneNyL6x4JwfuoPDoP/PKmUFCE0t2lA46f/0TxkG6g
bcWzvJuF8A30G+7udO++bTpTed3YfCHRepqFQqLzMRkXqC9mktNe1Jbn4/9UE+r5JmuKZty9QMRg
9F/Cf6kYKmJSPS59mymKIDArlC8Ly3kK3Pi+rB0FbNVYzOfDcz/LnqkWtDqxpFZPysg3siDgdTNs
XF3285JlnO2fezGZ+ILEQ1JbJguD6iamJnwWN4AEcpSJSPG112bhsYpXLD0jJDFqNRxJlVawvOXb
cetF3Hmh8FPNyxq9Tl24Ml6SjFvCVUwOS4cJqmuPOEWWWU1daRyW4i0X2MFYbe1Z1pTXrSZwesKH
Nova/Evctq7RSCmdEGKJzzHnzVp4DBb1MyOGQ6gj//hQw55zHVKfJ4X7QIvqUkxrAVuF91GIgXoh
lISfKEKq6bUdUJ1olRYwRayjmZBIlq54YcG00n8sU9ODPMux9Ta8tjnnayRaX4KocgxL4z29IEko
XVVCYNNRJqngc/6TVmhzr5GvRdMxmajZJWsU6ZMblediSjRdVFyv+OFplhbdJlHpaw9NmNNPSgQx
6zHLLNrxf+XAUg5ISDf9Xg70enT+kgMd2VoOkDO0dkIWEm+HrN+DWcsBcoYqbkRVUEi2TlL+MkEV
XJtDYzA8IiPzIoXh+MsEFWB9og4Y12MhK/B+1Nrc3vIWrEX08s+bYRWF7wsCmLK4aAsTFJ2bEcjF
yjcFgSK5hAa+bE7qzFatb5FV5qleoUY1n2VyxulClOUMqdgHPOfbpqwwGx7/RW33xqaaFbHaLiWR
IfwThGPPtSxmRpE98oNQ1bOsMieSwz3CU50VpJnDMD1P7eSWT7kpwjktA5/M0lKdlp76jRPiuxSm
Y0W5mSmQse9xhGlZZTE8T31joixHJzYpDTXPrmHDNJMkIAFUX1ne2ial1bfaScDRnM3lj1JbP3hR
bdesyUj9VEliOvNTBA1gFCrjNKru/ErWjNCtTUMqHcqahOcuoDg1FqvN9wiyrW1KvbK0xLoyEytn
/+WXFb8gKPd7ftl6IWCDW0C05hZ4ZfjaUbmBvmloSdxdU1lzi3iGx1cQeybI9nZvWMIr+8UtaH3Z
BSG7m0xYCD7iDW5BTT3+JcjwX/QP9WafW3B5BpV+3YU58B8eEtnmljCWkyBx62hqqtmdyHk3qprc
17niMdmVRz5nX4l8MHYd71Ky5OnGWe1gVWx9W2V3c8t4CAHxViRWtO73jfgnsX0S2GoWTRNY/Y14
K/NXlrYS5KvQ9L5zaIj0Im6L0+I7abExR4mIVx2FiLH6sBybopxoZqqH0IYHbGVjms4t3phGaesw
a1NMU8n5vaA4nz3K6XnKv7ObgZHTndjGND3vWirLQmpgd0zF7GtNbZaotc5xgmFJFCqcWzH1b8/u
vdlQerS5KSHQqJXHmM3OG91DuMxvGtZUt3H7vQvA/bMTBDNsTqZYluR5YhFNNc2/9KRgzPvBD47L
Jm9PA04cfnMbJ9j75pLG9OwyxJ7UlugWlQ3fm1b8fRGtoli/Pbv35umZo1Xo8DUvYp62Cm8dR/4C
M/iHLac+q9L88u09CTsnQwFgp1pVmK49oDIrsQl0WzQtx9HPfJyNtAkZS7o8tRiieFdUVwyL/bD1
Ra371/4cUcaL+K65fG8ZA82rQiqhx5SAXsydBu4xQeGYMlzpGExwYU6EUfnD+iTc1vcRZdnXdITY
LftJp3XM7CvtGlqwunv7GDpR1Uun4E4oriegPwMqbISeKBNJXNhREEVTilxJoEuj8NJu9WYWfw8/
vT2T0PHZG1OJPanSpGom5immkiZVw/gL7Uq4y0Yqk3RvhDiSbl2Fl0rMSt295ybRt/LOZsU7/AJH
7M0l9A7bNOMc3IklCOHCyRaOdx2IC1P5nkc/Q+udj3koqAHsr5MVu+PYkG5RCUXVdnPlimh4CkyW
RtY9L9HfPtaOxd861d5nbKZaGTsxpjHlhBXtg6t9fnsCsvPQcNeQdr3QVEXpcb+IWLxVZUE0jUaF
7t5yPKPX4heLY/W981hf55+0+3Rsn9MbZdS8mEi/lQg7D3Fj7o6JNw5RVj0h8ynmJianV5x2HlN+
wov+O4co7DxFhIZxJQtFochib88jWWoQ5Y0TTS/TWSvA0mWIqgojwmq2iL4W43ykPRWzlDlPDTN1
bfQzHMn6Ox/MUCDhg9lYQ0+Yc44ZNHblQ8qSmuFdFRY7j6LgIkB08zai3TsOw29mY6Yeok1e86nq
u9G0uUuwn0lxXY3Mu4TdMGtW8noxzgxyURlkJLCpNw4n/kQ23l7CLlzhEKH5D54jR1VQTxZ4JLVF
r+HCqdsSQw7K+1iJLwLFQjnDq2F5u2KDLb9mx0Y3p+nxu+VSLjMjK5o6xLrIfMnIY48lCTcKqp9v
z7TrA9qcqcftbuzzsUTsaBpUOUvEz7n98PYEQrfWPqNvztD/PMzCr5oAR/b1xjUgLUeZTsdXtREw
jlnsKZhMmvG8/R7rkvsOd+zYG9pQd6/C404qbM/eKZoyF9dq4YdTItqC7shFNNL8Wn5HNg8+CTxz
3F1axsMFaEawtPk3WV2okPbiTTWcKuZMdExEPFpDzMdvn+JgK71JevIkisuilEoaTmvhvinvmsR7
56zIe9vo2TCOUoaoiOtmqKgR2/xIagTd5L+2XDtVQuhxBdUHdWSYtjxCqkZCyJ96OVOCYFwHweif
bbcT7RviMw1jVAeoWEyR3Oatz1Bm+Q5qA6HVHWjnJnSF9LCzO1GzMUMk5QFxQqDm1w8+fUyzjNn+
JHPIO/MMzOrlPOj3h8CnpIpdHeHmPLFCCx7vNoZTKXiofXcUel+F6JtgWYaP5Prbp7aUPlustpxM
Q0AU7cngBPWMoraKAjlKhHBqRc+4XMAq+hWJkOvcq69LvmVV6xkVH0xlq3lnlzs/HrgrLxP3TSSY
DKR0bUzcJDkyW4ZjhSyo3+GBoULf3l6fn+tWs0INebNpbPpjvkTs0dNtKb6scuHacZCKcyQ9r0sj
Sa89PtELqrIoQkGHx02a3BlXVnmvCUhiBPk7imknd8LOQFsDBRGtvkkuYQapULB9GfmcrAp0107e
OeHl5gbYdrWoqGPrrvJ1EGx8sIWm1aWVNOE0YN61UxvcQ20gjfj9cdGITL5WdXMqTkpduXHZM/KF
3CwfP38SjDBj2tOX64fqnfV0oYxtsQ4wKD4iEdeNIPr43rcWN3VRSVURTrOUyTfCRW0II/nSu/Bv
vCvzMfkqTyrD0nnWsJQR3b5HQos5Y+E6e8f62HH2eIhg+QoBajXx3W+fi1yj9VNS5/goJIFR5dGx
r9/hqh0svDmD1NP5tMyQs04xQ8B4XdFdw5sgN8uoMzaN28owmTd2ovPq0jLennjnvOiUoKEbqNYV
MG7vLLBdtwpNJ5xqSOM2TYySl5i1MWpu5KnfxO8AukMgogrp12zC9myOmNQkNO1wGlrhHdei8umJ
Q5GME7z35bw3UU/yIuukpq7phlNeyfS6qVC3ZY9Q54VY7O3bByh0yPR4ZmtP3bezwTNcwPmNWGCq
cBaM/Af/UdEdSzcrnRtl4+Ac6R96nlyGuj+1v6dX+ZP353KBIj2F1yLRLAFdxnoIylFECsXD/DH/
05EJ45L3dtgdVn+HsDyQqUMQG33be99mLNRIlSZ1MOVsZrW6gJKkytAmoWEa5tibjVq9bRgSTc65
wtSJ+aSMG3YHG+U9zbPrW91cRw9UPqgTryyaYKoEI0th8XnGbmo6zqfWRGKFUY/cjHmI+9ms/PTH
Zh76cW7O3UOZCrGkpBLOwG0u2xyTO++5WV2F8JvH3G1/40PyS9u11Bzby0b5TBxn+rmJepKxZMzm
9sgcZVN63kyjMdJ47xzsUri8BXBPvMEN0eA+YmZH05NRdkFcpunIA6KeQM/Pbb29/EGf2pJVIw2O
kMXOFSMf1SN7WpTMusUXXhilbscjMglZM85hSo1TBiCYNnrPpCI7P0YElwVRQONxmFbbp5THeZnb
bRVMfWH2Pbro4lG8Mq31ehSOeOYYyuht/t750W3M10maDVRsPPanqB7m42PdklELwaRCh8ITggNk
Yxc1X2+sB0JdNk6b55goK4JRmEKhaV+KkrCSW7y9o26gAdobE/WUqi3VillneTBt/PPAEZhCLoP0
jisuJWWqiAdYbciavW6r78zytEFVRl0GU8uPbzPHPBfy5JI6/v3bm9rJPBvT9Pgz0JymdiRM41T5
pAjvs9w2YNuzilxFKEGKUMhjyc4BynNzb71vEQXEbuWIRTA146xBOkydojL3Mky969IPH1BZdP72
JrvxBsjhBjZqInCRDxHJ7W/RSdyWQ/1lMFXFZyLPVJRIIbz9j+bo49VwNo3aGnO4IvmSk+YJ9Wfj
OLUmb0/TNffYsRfcJ0diF8+Sq729VKkSCZYXB9PP0efWCMe2kY4qQzBy3WbvwLTLGKB4jQTvZEuo
G5F7nIVK2zhTFEyFZtl3iWheVKV1VYVkRETvndPbxVubU/V21XTV9KKVwv2pHipNz8VPJLg01XHh
zwTzHYGx62vYmKvv9SWmncjE7LaVPolVxuT8qXXf0f0d2/S/uM05eipX9b1U5sokmKb2D9e7ovJ7
htow3AbFujlDj3GTWguRqMEM+JZHFGHF5M5iJGfZJ9vwdHVi6QLjDaJ/KYyYoX5Dl1CnOHr7Y3zv
JLvfN2R8XIiyGKU4SV9DWRx8Wi2bctJ7Gb13PkOlp0m0yC3cSgiDaSEUoyDLRrJdGEltXXuJ8o6/
stOW2DzVni3RWFydRg52xE3tQm/HiDzIX7KE1ZfypB2lF9G5MiYjOpGeGqNhwtXb5zkMx/VA7XNc
aLUoeO8+m7F8U6hG9rkZKRfmhXrpjp2rcOrMUAeLKwj31bmsl9fpBfcOy7/33fb40FH4OJT5jjc8
EzWXNfNt7h2raZezvPnl9sPiRMlin6swx6X/GFw3OowlXzAoQ6nET+dauTMn0SdplE3+l7zvaI4c
WZP8RbGGQEBeIRKpSSY1LzCSVQxoHQL49ePJ2TfNyqot2rx33ENbtxmtMxDqk+4e2ZXzozWj+Ma+
dnbzfr61Vnkdjhv54bTBNxv/zbzdi9vkD1lu6fM3KQDCjPpU5N9Vzb7b2/PbL18vizSMNKvPl8U8
cGyntWmuiivtBhxQ501xc3OQkZW4oBvwYLkWu2ybr/5+uj6bQ78bJbT5DXQo4QcvLlJbF9SeLFyk
+abYq22WB/RdxdNmCdowmYLHKfDDDFXg08/9EZ3JYD8FU9Dt8sQLnFX+lH1jPf6YAQKr+D/fc3HZ
8pLPxKlamI89NQNg1gQgDgHnIf857Jp1PByK0DvNj+UKubW+1204f9co/VNU/PUTLi6c9Jy81DWW
xA7a13QIzO0UsbunqgmWt85ODBW+V8GxfDaD6YAktA3L1VAGwzdO/c929H8W4rJC1/UdGhdnnz5P
b0XzVPd3hv75983/vTP9aVr+GeMi3eWTdjtA42FF43JHruqt3vBT9p4HpxjQSPdDrHhCE2fPt6d4
TIN61RzKRwks8NPfP4T92Zz/8yHnAOeL03C4NoqO1PV6ig4rvfOP+Ta7GtZwUA/LBtn4Y7ppbuf7
MnlGmTIS18NrXobWWu3tQ7pyVk4TgTnlnKqfSxE8+P+W/fvn4y78NmfuDGQ5VqnyTszfAY7zTfDx
e8P6Yh8uLI1l5BkzPvcBfltGafJixm3oPW/e7cQ+vG7TUKE9L+MiGHff+etvD8HFjSucoZ24xvTk
agJv7bqiAduhiYVmOQ/AXYzv1WNxKOJ+Za2ObiLyYNw/v4rg4e9n4KxE+Yfw6J9lvrh2Oe8FGTi+
o301q6C44jd5qLc6NtZD5D7boZ9kj1VcBu7/tnX3ufio2QH+CJTTZWPBY0KBTIizx3P/Xeo6YUys
xNIM4GKCzvn3Wf75oP8z2MVOy5T2Lcp2yAhc55pNVmgCCGyC+0Ck8c1Q55/63bL/M9SFb2kqoXzB
q3qdqTGZ+y5MMa+/z4Z+N8Z5ul/vbSlMX5gYY1j5Zx+WhTt3rdcSMMcI/ALnfXmwv4mi/2gXgWJB
HQUvYCId/nXI2q+cknlFvabNFePXGQiFo/z4Zl7nKtxva/dlkIuzOBvDXGbokq3nbvmhTG/VmewG
0KA0AOdyz/puVTNQpLiMwMX8dwz/l7Evwq1htpxGEqzpBObwwqZAVWRTdPTfiW7+GeayEKk7QQn1
sY5Tl97pVPYBY98hcf7Uo4ROzv9slvubg2mLpZLnM1jONOZablwbjOBOFevJ7Q699DekYCzMqnw1
c1TK58xfySp9yvt8M3rygZV2/Pe9/eMN/PJJF66mZX3ZyfO8y8WoIn+UG6MbRMBIvrYd8d1B+mMs
8WW0C9+h0JddWHt2bCsRqz5oDzAp3ZsVyViOQROOXcw2f5/g7xcEOErAOyhEQtFloRd3cqI0nRk7
X5CCAsblqs1oFadc++F/Ns7FRSwXi7jLlCF4KE2UitG8RD2v0eN/OMzFVewLF1fNzOt1g5/X6WYU
G9F439jK333Pr2t2cefqxaElyA312tJAidtAiJtkZ4CKktM5pF3znw33GQR/MZt5oXjjTCVcXQ1v
Wt/Swkt8IULtzEiy7v6+T+cF+tWW/TK3zxzky2A++PsOaOyw0S45VKZ/NHs/bki6Gh3UR51+Mzvp
NznrH4ek5lmkAe8DwEr/aqMr6iq/LXE0qJWFg08j7a0KWSSuX8R0Bo3MePv7HP/QacYk/xnx0pr1
hNlD6mJEru5VFQybKvJUkD5XQbux1tUpfTdWxr4Hi3MrNtk306Xg9/5pkb+Mf2Ho7CxrfQrizdpz
ZOCR7Cg9+ZxNeu2a2bpCDctQam+k/KYEHqSr2zKiSxPntNiCL7dt3elmNMcNK9AMUMiw0cCNzucj
Y9MuL/Q+H1WiKHiqJr8vvXYJhOmGOrfvG7uIW8MP+yx9dMcqVmmKWL4iL4Ua9jWdfoyLFkDSurHb
NBvPJVHHjGtl+xHxaEIGcKJalRB3/jD68cBbaCK0Yx2gOxOP1IkapaFgYNTbyWgViuj8ikKrIWAU
BM1htB9MYh9s/z030bdWfajs8qca8qhairjSxRLQ1t01xXhnoOXNiR/0qXpopR0Krw3mqQoN0gel
4U7Ai4yxtHRS2S16fF6dkMIOTckAhGuQguWsepon8+QY+c40tBWCsPJWjSyUsouHcnrt3SpKXZY0
szgu43Iz1/Ob7h7Sbm8X7ja3wN03+25nOsOO+Mu2oxl4TO66UzRsjOxntfA6mJS8BsZ+o2oaD64O
Uu5vi2KM0FTfgtW1d6oisAGzz+aZBlnjJlnZ7woJI+vIzIpa7VkrJnszXoS9BOVUt5GqVRHwEixf
JaHeUbErq3GOuZdWsWOWe1kYadDOlQqhygB1ECyh25A8aEtWBx3YJQ5onAbleegrMwtBLqFbrvNh
1fkTCYxJP089WcLaFn3IgM6MetFzQM17Oxgk+G61A2gDNfhPc7BvKg/VPtfjKvTPLNZxMT4W4r5q
qx3jFE1IZ+nXgk1XvB/faJolnVXUN/Yg92Dy1kFh+hVYbnpjW5UR5UvZRUXXVIlss/IgW1SbFdhs
ud+H9bJEi/QedCO8YNGIBeu57OOhMvt34qB4kLYWRrdY3Yeja7XI6CywcycZctNa9YTv+IAjVlgR
k/cGfUdtKFzEibYjwCFzqDpvTSlde1MX16YD1q39ZKHJBqbQy8jFU9eLO75UK6b5U5XXUWlOu2p6
H1IbKgxt7GpURgsz7Fh1Z43Z2tYqZhD9YCVbKZFFqCOuxOS/mLM4kLQOuyY7WLWKra7d16RUUWs4
oS9gt1OEJ/3UBbaVAUm2RMqcIr9mIHnXPwccndbTR9/KnbAS3m1P6QOtpqOm3oPPy8jT/nFM6yNv
2sibHpch2ywMITSqieoFTMOwNWXgp27EwFqm0PIgugyVMYV9bUZ51QYddzadUcajNwdT00VL5qG7
pdGx9sKZyXBp6tD3MhD2r+1RRd3Y4Rw+iOm9oSA2IsGqJuhIqDtqjujjl3Fl01i07WpQe8t4YtYY
CqUCz5wCe/jRShCesyJGcbzrSGQtZiiz68U6LykayG/cS+xxisr2yuC3MEfQyfhYetDKbWDOUJhb
pLWZFN+ZZREutVgRsjasU9/pKPWv8roOANyMiD1GLfOTzh0DIPOoJUPSd+AdvxkOiJeogrUgbY79
a+W99eUDlFYSC2okvXWAbonRbor+wRcPooZFWXal/aNmR+6XiaPfzQZ3JDv6iiQ89yJSOME4sjWn
H9LO1t0EsmlZhRXro4xtISsQLsZbaaPRxfetiWKcW4PfrSNB7ZjlVtT5aNGCHqr9GQX0XW2xcASZ
20itsM+7iJr2agJga5go2AS3ij2keYW6qQsjd98QL6A1aAbjnS7aYzNmIQNS1Gle+4FG1oQaLu3W
GS8DI1/Xy4lDKqS2l4jbiUO2Vu8GlV5b49araWgC6m0gdF3mq7pSQePPUTNXSd/IFWLcqBrV2q3W
woI+gG3EvN77JW5o+rZUbkA8MOcojo73ZPgYTOym+rXL8zBvdpS/VVnkgSUPrRfoJPRhlkZ9vl7s
JIfhqPuDL2BDAlauPHc3AR9qresB//Hhde+KJdV808KvLO9iwA3HcbMLwIzFOh0iOYcd1I74ahar
CnIPYkXdzUyOudpAfgI6D33MMrSGHxGieDwuvQg0mrEELSgoRUTQISfxMMcF/KgfDF4k5NqcdwVN
OvEuqoOvnmYSpt56sOaVhrjQnMfmcsoyWB0rqKQI0/GGN/vKukNDTnXVqp8jBU+jlizwykOeTdGI
Ajr/6VRlorN1LtYTUJWdG2U++HnkZBk7k7wI4gS6va7TpM+LaMrMQz8/lGKb9pEDHl9W3JoINZr0
VluHGq5ngvGvpzzwFz+cXDRSQUjO2mtdJbkjoMwwhr29sZbdWaICRN2g7A7zAFGoEBfTzt6p9Tgw
EdH5OQclsmHbcUxouu71S0tAxjkMnh1AyEd1m8K6gYMa2N3ooQldhGo6yPGki6NZh2a/Gfl2IbHF
Yte7luZuzlaFjXSkubKGXVo8z9AjqrqEz9j9bsPa/ciu/Op5VPeZeiqqMOtXBRy3Xl7M/mlwwKD2
gVvzjksODOra0aiDyih3l4h6RwcLXivQLKBw1cLZGi8uyBdmFQ7jS0bcG2PMY13I9ZLFs3ttQSRD
QzTHfMqGDcsf7PGHODMxYbQzw4H0SOizldVv6jENmzyLVHdH2ziV0CJgWUBztqIQxppQLOoPtU54
dqRuWLSxOaw5NHqcxPcjQ576ads4VgQCXzyc1TgOxgBkBW4ReE3GphwRV6VpyDsWiznSZVyYUIU6
mfKn6Z+yJnG7l7GPJSpDKtvo7FQvW9OJHYFW/PVIVulwO1px6x48fiqnOCvmQEByCNpWhh+BlYPE
AifSuGnmm6W7ZmXszeCqM5T2YcZG/7qxI6Iey6e5ebb6F0gthSaM+7jwkNTJjKDPN2+mcS/KfTad
YP20ffCWlds98PTddN7gevXyhJfZwl4XAQOmxsA1bBwYqWmjm5OtWCT59WwCkhzRBtIsJsizG69A
3c8gQTsmPY+hA0L828y4rxViCy9eSkhrzMiJvGtR33jkwOePediIXgXEeEmL/SzjFE2D3ob2SoCY
Jmi8Hhvyw3FXxHqn/N3ynsEci3jaRQbo8aysw9ZIJsIBjw9n+46JA5D53T3Mm0Eh1rKavNhGpIZg
F3oo9dofrhqR5NbL6O6UEfqgA+M0ZPtpSXIoTrXLnjQPE1vTOhlNyCQF4G/gRhNxBbxH4+274W0S
OErnuLx/duZ3j56WDz2NgJ/cjt2un15kegWqWVpCs+XD9pIMpKBu5YhDm75WqQzLog569cPTPSSc
EheXlgXwFzmcEvoT1LmvsvdqeIEUgCr2gt0O+PPLxKGmgW6gcST1SatDDl5ZbVkHWrfoYbfHlJvo
XbZxi/Zs1/PV0si4bMYrkVZrbnRrX9jbWj4uVO6lqEI2Irrq5vZWaHWEjzuqpb7TbRcKyJvY4INm
w/w0I3xPi2XPJd0hCLx1uRnVRZaY5bLKKr7OrOzJGYe3fHBPXgGQl0hxxMBRqs5kBR9epmtu4fI3
dkfviwWkMNKtVYn8CXgdZ/wYSfuQlyI0WRfaHfD/C9mP5YAsD1g16ceTn23sdAw5zJwwrY3lydCa
zybNR+yqERU4QUOA3iOI/u0Jcnp0tbj8MFj8qlLVg5NN8cx07M+IcxDIGhlzAp9MkMOa1apSOKRp
Hra2c50X81bn7po4GgdxqeKhy0Nq1lFDsmgiHRDFfiQVet2GimxhH3ij4iWFNexE7A7GOlUvpTDi
ysWm8flkeXqXG94uU3zN4flcZkeTL1+hxbWimXPf5odU/fCXa0lOTZZ4PWpZFnQgNi5EVDp8aLc2
6bLTgkF/b1n5xU7rewdCeRQMCt8M6vndJkvS1nKz+FZIbAG09U0L5S96N8NOdDirGjH/2EP6yDxm
6ZXbviq7i40B/qy7ztVRkxVRbuD0sD7DtCmMPG4h6nJe7yXb9MRZAxgSKu/Jdu5BTY4ZGUM3j5VU
u2GBupg6luAJSIj9YC2p95F3Q1who+nTrbD3U1nGjVcGU7v37Cpi+q3Wdei0x55VgVPc6nSB5kMF
nulznU/QcwKE2X1t/Rc67uu2DnT9QfpjjgBN8T6y/KSANBKTEDtDBCEAqOgQBjIX9VOHhcyFDgjE
l5wrajeg27dB2deBSbfwgpDsKa0BN/i9T+vIhos0YNhmlClG+CQxNmHmkZUk72k3RCmhSV/fuoiN
u/QnKQA4qOjadMzQNhHF6XVaI3csilDCG3n5GBpFH5aqDPnwyLOXcvqwEdlOLQ2G3kSEmxSjEdAS
0o0popAhi0VNQlEUiL7fhYDxUl3QlWfLFZXzW+k+SL4yxQ/LSkG+vWtAw2gP1rAX6ZOcXjUSFsDD
AjOVR5tY9yIzrkwA3hevX9nGo+xPZ4EDZl4z97Gtd6TqE8tWkVzuVPXhwGTlQzzqYyueRL3r1ClL
T176PKSvS30zZQ/EVqEl3jTcpDW4gewAdF4e2/nkdyRg0G+kUBeYrffeO+nlAHPYlUDuzsXKtN5c
8mroKx/KC6j7hu3ZsCGA1BV/7Kh/V9rDpkVQ7OV14Dfd1gZpmvNjXT7VC+q13Bq2tqU9JO6te00y
Pe6LSVvRSJHuWbeTRvAmrkxgdTpdrqm0rl346Ubek/bNm+1omJ5ZdQXX74m3lF85iDZIyaNC74Cj
A1y6CM0cheB6qwoIJhobp2hgOX5MgMtw+6WA3bLT+7SvwsKFcoSZTHSvxSqdA9s7CH9N0kcLEFro
eQY+e/D1EazCQFof3B/Af6niJd+DNBO49SMudqQ1DhSBVB/m2mUjzFIeWtBCnBqgttVZnuUWlYid
aIbYRl7rTlViwWpPGs5O7Gl+P4A/O8idW69KwhH5YRCNSMSpQ2+6LvQBUBiIRqzlOESD+hDVGHN/
UwBarOYdGHCGA2Ox9UwV+PMmb+R2SQFQzwBp8JFywa4u7ZuCB1uuaIW6gNqUw6Gvn6mEN0BqUpf7
lLNtMRlRb6vNgkjLhxMEDHwWOHA6MPiyhhqGy6MOMlP0GQEztU9IZgaJyBDKMsjIHHAUhJlYIl+d
f6CdjwUxQi/davnR6/7Q1T+X/hZNiSAzC2Q+aAR6CB3IblKw7W0dtZCxYhDBGdIeqm4oo5uh8q+y
jgetH4kpC/32o8hPtoiqartYSWc8jBniQrryW7QYqwr1LtyeuO8f0SsIaoBgG0QNBS4blDFm1wmk
hzu8VJGBxLUcE5PtPa8LiPVG8lXBrsrx58JuxwmCnjkEeJAxa4mvOZTNrYJlEdC2QUMPZHL4nhEi
qC8cQph+/TiZVsDrK1vc2eSBLahXoS6UZrc+Pw0MaW6BlPq9RN7SpiKhElmyjrn4aZC7oi0Co/c2
tavCaqmg2LmClhos5ZM7QCbTGSKWekFtDPFQ9HGPmlhddrFrncwGsDx6by0oixhQ7TFQ1IZLHWcd
sgnkT5C1JLnhHQ2t+iNLIcvmuqGENFFnrSmOjLmu+1VfbBfx5ODre2T+MwkkLofO0JhXz7J/EObJ
yu/KFi6xO1gKIVV+DhDSxCdvUlF8+BQUyFVys49n/LQnflqOSswGuUjz4pCP2ds5y/M59F2wHfnW
Ao3aQwlv8RBrPtbqoXaPs7md8x3US3PkWX0LMTO1MtQug53HjTTtpFV2YFRFWFtFUFjPPLv3oRyn
GZRwEQnCgH7044noGwSNm957UMUQZvx5IF04ibUYkd+yMWBoN4u8Dbu+Wo2Qf7GKm6rbAD8SjA3k
6jS6/mkW5y0PG8Bmmu5gIw9oEfOP809P21c0K1dO+9MaXw0gtsD4AmmsXDesSlL6LNUUSkTwKsMM
P1J4UmPqsFFGDNlNqMuOQQVdWOOco1vIByAkk7LVzN56SNy644+hRzjTb4fy1mIIVgbsN47daOow
Z7da0MRXIugWscpSmYBvu2JL4s8CMFoZFQVC4lknmUZCg6p4ByauARnb1HhrC4DJ4LFToFtSJ3QQ
TmoX5sQTG0h+BlztjCUPBrtdmfPBXTadRnzUzyGI03HmbvJuDAz5YLOd9vUqFTwhOSRDruy5h2hg
AekcgCnz2KZjOCAgsEUTQksotOHVO+IjhfDRZQELwVURhKACW/FIyTs9cDQqzNhoypBoGkELK1RZ
UgKYpPoCFbRqY2dPzB1D8AAju3219Bi3zouB0FZUQBmeK5pjVgRNdQVAbMzHfCWZHxpzCrBTGVK5
c7hYmfpc1wAXTRj7liKdrFAI3LXizizfOfSPxfDUcy8seQcHAe4wT7HWj4tdwWCX4SA+BbGQ9dcQ
E8E5h56yaG489cjolRrOlhtH+NSpK4QFIwQEJYHvPBjzxsD0lP+osj362cHoTZHyIck1ztE0/lCj
QjHnAWpGgVFec/2AdGziZTIq1IjrMtQaPMvbyjkRAkD7uD2rO1JPbgk5Om0TNqyOfP8jw+1qlB9k
1vtATwXfZTiQjfqJXUtrjJ7fqXMmkjQoVizlieKAtP2CiGVIsry7QRE29swIQS/UAYOOTtGc3uei
Rc6F0hO7NpEH416HAHmdc5+h3kqkRaQIUYWq8/0oD6ULcTJ/Rv3kXTl9MJwtkHNfl/cFuYckp0Kx
U+m12a8BNlyijkAxQTcRUy60jG/ssdtWZFUsd9TuoeL8yMubtq32ebUv22drePzs5/x/pjILmaFP
ZfZP6SEK5seXptZZx/YXzfQL0fov/8+/tIrwNA2epHE+5dd/USpyoYmOF0vwDBUoRf7nO8z/0vej
/wfyRBD/c0wDgOzPZz//pVRkQQ2MnZVAoB2Bp7r/d0pF5m9IEAdi6QxPM4CeC62/T4j6ly4jV9pY
vK4VYFRWU9TXQ35F4CR3Y9dfgeJJI6fKMpDToG2XpwZFfti3YduX6CJcW92S7UwhjmQqwX7sBhW6
9tDs7ckM++qsPiqacTNReRjtHsU9o+kTP5Ne9GW9r/+7JfqVw3/uSn5plELrFnGLB16WAblDSAle
dpp75K1y0VNi4JkAlHRzhHQQ3CTgwweNaaKmjiQBHNUfbkuqb8b+pAL8NjhQh3h5yLKwJReDDwyN
JFrbUzL02cqTbdJXbAmGGdpmJlWoS/ErKBcQZEoNgDz5d7SlP46PbfPPzy2cWREXqIGF6rKbLWtK
am+8ZpZCg1JRFY4NBBZdyI8OcNK5ioy8hn6Njej472t/iST6XHyG2Vs43iazzw9ofUUSaTmJsoKa
e4JsIwuLQZ74gJIHmxEqGxaaG4xB7dX18vdBelWo5hn1RSvxjLipz3FCh0T57590caL/7xcxyz1f
Lgh5XazIpLM0Zd00JaRFHE4LaOw31Oq/QZ9dQmQwjG3iukBdD++Koed4MczIPTbKHvGlXmgbzUC2
x4N2iocOrMfSmfjW4E2KnibwgJB4XAtF1LU74DGCyu2hvM6QtVbacXbgUnvfIJEu2vifnwZpUDxz
hc62gQcqf90Tu5fwKnQSydj/cJFnQG08e8fDpcE8p3fI9UGuTRGk/2+X3TahqmbidQdqUVitXwdN
s7JQHmshmwut7LBJ/SrsDOgJ/32UC5DM59RMKDL5QChAn4Sd//7FXEGk2SxoWWJqXHvR4mEaQ+sg
4GP0O92cP63i16EuNhiEHd5zuxKJN+d+ICoZcVH86IqyQ0HEQsrJsijP5m8wCewC0vI5Q+AZHRtv
t+MdykuDPGel4ymFC226hgigUtis/drYTTlS1aVD6iCRohXocnaduptcq4ghXQb4AlRZO+KWkaxs
FquCJEQ55rqsIG/NhbmSDuyuJ6QKZl3ue1sDlyogAJ2S/GPgiHBJah7SWUu8c8E/gCFY1nN5PXjo
3PJzT43OZr73gopPN1QQNHzsfP33rb0EE59nDqF1FyoNYPHiBc6LY+uN3DHbCRe3MidEYjq/YVPD
goxjViSTN5MxoJ4rSYya5R20WgA2teZr1UgX5QAbDa/mthqnPjCITwNxrvB56G+zGVAAjtJvI3FY
TAm85jgsfQjEwtFzl3WnkQb1qDguyE5t08IzHuN7Xjck5J5CwfFpdkaAEAqxJ2bx3+HS/1O8CJQ1
nNdf3QfmDN91NlY2/rmYc3FGRSIMnpK2d+sY70fsEJb/1O18lje4X4q2RA/dg7KRbes1IN8sIPbH
7I9HAzoL3VKQPRQomhL/NoxnM3faaOjoc5YuNM4ZEknfpitH2C2SVGfFWeXe+SJd+8ZbQbzsvtYA
Gygot6D9jBjchDWbZI3GQ2qgSTTVu9qHqqcg+NsZVKCld+O33f2ECgo4xlaD1ARySQdzMij6gKGl
d8XC/ZBlrhnkqt8qIZESq3tP7koNNeC2FnnUWreGYd+jXHk7FLa99h2kjk4j4kmigts2W6T7QB8B
pYYic4do2kRDG93QhzwcPHp+b0GvIFBxz4r8WrjyaoAkWJWjHujN6n3uzC4kAMfHlPc11i6o3HJr
4qWMaHZqskYd+Q5MvAk9QSAmVL4rR4ji6e6+R/8LZTcwRiCEu7U+U+1lKlFYGkx0IAlwDK6Push7
NtjvrTtc29ad04422qr2CxT7oSVqPbnnt1WIrzc1lEgg1I4y+OThRwYp7h3uIX20hxzV5I4BitPn
QTNMV1U2f3Oqfjdcnm0jaoUptoCzdc+Ypy82Uo8clXOFeySsadWhrebJEjrkub5LNXqvHCWctGq+
w8b9cVToTTq2AUEUOIJfR/UHnA5/gdY/QZWIqRvRVh9icI56IfeDVT6WvvP0d4Pxh9jnLJYLArQP
yWvHMi9czsh92ZBKIPay5BQ0JbJHXdwOZBrj4dV25RL7xs6YSBV09vINnPn3iwsOJSrShoP3JBkK
EL9OlwtUoJVsMV23feoGc1XMJkEvuCSrbjK3Bmpa5AcK/98xpC+537CSGBiPiCPOhSYIlvrXgUEk
JvWksM6WcAGNEDJmdS3DClWJTdnkrzVyhtCW0wS613IcYTwD1lSvjnwobOTW32zBeZq/2i98DZ65
hq6qS12ERL9+TZmThTqdP+LlBkRBwLeictnhuR7UCc4C37iZaqTH0TUAAbDaqzJNUUv0irjO1F0L
IZfEBirp79/0Kb5z+U2Ih6ntUUhRIXH+9Zv6vrWWXLrncqPphVVF4g6KESuZy4cObVA5KuBI+vbc
0zBRZUmrx5q1p9lNjf1Y0edSAxm2Hq1pi47FDPwCtVDnhJYq9jWaDH5HC/Mw5YZ7RCgiEzSy0imt
D/2SfWRWqmNI03zHcv0Ma36bEjR/kBFC49m+jGm5RQhJMzYmrrX4EJ2YuECnPAVHXgKsVVE8dSGL
vA8lswD5qlC/X0arxzsh54tfI1sbDefVBPgLkDdUycsRnfhuihx/9OOlZhGetoHQj90YUclTthGW
d2eYrQuFiWyJtDXDhPl7X7vT2m4xYW5tOINb1RWanlijNkfl+++7+CnZ8duUIZAO3RsG2b1P5uEX
K5bSwa9nDxQIWaKsn2XrzEW9OSPzeunpXk494CaZtckUqULRNDpoMxSrCYBgCPgh6ErWCM9nZIHa
iZAAqgBrswDRBFiIKton6GgIgOOQzE6ZA7mGN+Kp+yGrvG3V0BGtr3P8A13GukMdz7Shh26beB7K
keUWUDyOV4mAOsjy+XUZ6zOcCr2vKh1ZZBrjrWqdH39fjc+o72+rcXHP1FQpi7fzmHCIZIdzNQ/h
f1F2HstxI1u3fiJEwJtpGZQvGtFImiAoiQQyASRswj39/xU16Ns6Hd1xJ4gqSCTLAJl7r72MvVjt
qgpKSGJ5WG5ZF+r1yDDcxyFqHdmdvQ4C73mQ/+XB9CkV/9/XcgssYBWCU/vH0hfOA7iyp7tdVAbD
bnTD+eTa+Stu33COrPksvCFY10InpIGlLAiFdVdOFR7IEflWbrFfeOHnpDL5SOFD0qrOp+BGwGtx
QGPiSo0jFZwIN//BNDBZiaZ66y09HKLUBV1t/HDDh/HEr31qQy03S5BAcRngI1ohyW64IHwUCmvd
JLDvehzLsaHyv5Y1WSNh1DNgWpJpl2cF9bt5yGyWKJztmFiaYRRPEARXwnx13OTNCqpnX0v29jra
Bn3zqkmOckhbO4uGLK82/RVasvgPccf/tjfgRKZFUJ7v+SaQxt+XLgKFgjyRLKehm7+lSV9tjIXU
qmqhpv/3K+of9i+fgtuNaJT5rbjD/61I6IrcV21ldbs6VR+yhv4Z1HuWzvtwzMpVxmxAlZDAXeU+
/fsf/oeSl/eIO6Ud3TIE8bT6+19uklTXQeKxPCtvqwf8anQ4uYe8737aTJhBepNNYGsc74irg7jL
wLxEW7NKqOvXeVFt6iD85RLmQuLc5K/nrIVKjUWUzwzo31/qP5Q0vunaPiZvFBc0tn9/pX0qGjuR
JnSALI3Ay09VJ98Gs7ifDG9dCvHRBdV/gVmfRcsfdxeIn41wnSRrQjf+uASiwegmIbi7rEFfTQc6
jWFsgkBsFj84w3Ho4Q92dWxEzh6U4dFOwoPdqQHgG5W3U7n3k9P2G6hzQ9wmFJqLmJ+ENZ56479K
oNsX9b+vlK2TVO3AxSD47x+P0D00zIE1aQyrfmPWzPuKHLqnb+Zi7WXy49+/jX+8YmmRMEMDbgPp
+/uf8yNJ+p2eup2jLhjRXVyXv2pDy2ZxZoLG9buOlgnG7X9dsP/bkaNYu0VKurcvxA3/WO9kZ6WV
5dZE7JD5Mc7ugwXZe51kAaZ4U3t3m05aKf1nPqGv91PEZhJKbDYY9OFJygSo7Py1Yw6xGebHZfHr
/9gq/wGK4gUGNI8mNzMztD8umXGGt551t/mq4b6xqhDz4fbEKtbdhb7xPRNUx4Mbxr5NvxbMX2o3
3STuwlyztZmdyuLDmfkI//3r+vS4//PyoELmm6K7xRv8j1fVp0NiO8psGWmnEnrNnB0M5R2KDpv4
aaZ47fooWkuRmnE6mOmGwvFQ24CIWobl/VzulO2JL840vWuZjV+0lT5kSddBvT5FhrOcmjC7Lqw0
5yZq9MZPPLUTFJpXxb4QSevSh5aC2J5Fl6Vmm1ADJZwwZ3+b+SRkdc1F1XQIYgLhOXR9/4Zh6ddF
F9XBcGTwYjfpr6UR23ywsh0U+elSWGxrDpycc1VvuoYa4N8/sH+4viEwEgDCmkgt/af+KzOw7/GU
3+yG1Fs7i5Bb7S7DdlQ6W1faw29PP/hG+yHH/wSxbyqXP74qAoNcjMYxk7p5rP791hLSAu5vgwbS
dRHspandvTAS3MYTJ1+HlW8dxrY9DkN5i1ME33Scxjtms/P/31PRS3nkOdymEf+zM9SqXvo6dJtd
Lua71i2HVZOb5laMiiS3zHrDJsW6zpU6Sxf2+79/+v/UTPLHQXNpYgKw/D/ucntJUllp/niPDfdK
p9DvwuqHrNP0XKaIQ4QRKRhyy0FCHqqzJvuPu/gfVhn8UTF4RB1ruV70x/JGpUT2TuY1u0IvyBei
g5OsZdhBd5RIB1rzP98xrZDzD9+7xeiJyNwgdFjH//69h7lb6XQhuLQYyugHnHmYx3Xv30+ANrHo
2y8FcaIba2qiJ8MLTS7D5JcTZNkpmJJml05JdC+NNyXNG+OKNKdRiAyeFvJebZMLYzXQNCpNZEOQ
IS4KHOM5ZFiPja8HwbLLz0Y+BS8dEFNnJvUXOyteCVmamdG38q3H1c6Zu+KhK3BGdJzKYwc0aXvV
JJ5VX49brF3SfWlPzmvuuj8Gn0krqbiKO12Hl9S6/SLXSt7ywNjJAZahaT6C5hhPbkIZGYzei4BF
cwD+Si4w/SG9VK5BWsbQPix2UsA+cR4YbDTP/YdT3Zz9psF/DZ0XvVjyfQDXb0d71WrxFNBBPMCa
MC5jC+20JtMGSiphM48yiGY8MOZTpsX9sszWS6csATXGib4mnVQ7J6iAiGzXvVNR8UIlow+tTJcr
XpsnD6XvsUfSQhOUXyAayHO4FChs7FC9TLN8YvitN+W4RHFk9fO3jLqtxLn7za28grXDzjf9gigp
N9EpzbOuvkgR/LSzevlp5taDCotvfSmMWNmuuMyBFhc99b/qmSDZjCy4ZRWWFR49tVjo94rhKCpF
B9YXS7sReTuvpFVO/lYMEymLTndcKiImGbm9MryGdHN79nkqyG6ZxIlbbhwzEFd2dnHF9L4/ogs7
fp6ywto79qG9K5QYz/J2qEx3+P3o81yST5uOAKyduAkSc8c7Az36589Hfx3GMh229QgmF3p1Gc8C
fdpgf1JAZ3FJXUgecEahgCZ5dSLeFTYrJNXq1ATt94nQq60P0/Qo0lEfPx8tZVlAtbTNVT6ky51R
tcsd8hG7Spq7zzNM/uY7UUh3Hy75vmr9c68S7/6vQwN3AC82+xqUHRIlZFgI3WjOu1lN1Li1+zzl
ToakutyNvV5QsiVQEnNaqmMEH2jmG4izIEi3heUlX4jUja1ZWa8G1MtTl9HLGJTJJtIeki0t43Gq
moehCPpLJZVxb2Hau0Si3yVEkG0QwCVPKcq3Y9Z16frzKV4p7mWGnqW76dAOuHjCWMnHe8qEdpwL
Yh+lgCSfbwJTnuwuwwG+iDzS2KbiMNRNQuykX8XS9OWDi9ToAYBp2E5Y+MFt8oHfkdedHMgcp+TG
DuydIHopZlnsasT3217ZyYsviY5SWERTW4W7zp+Wl9klrkmmw3JB67q82Hl5NFwreoCT1b6U34vb
SQRgxWHSipsBGX9D+/KcJtH8xb8lUAdW89zM5JB2earAyJ0b2U0zoqMlvvM74dx9PqJ0Hek1UNZB
abHGnhpJzuQ/Bc0SxEGTf3eK0DsGYe8fycf0ub4hifRJdcVqAsKg1bc7z8Jhh/fyfMMoV3YeBqvM
S4dYKsf6YpYqxx3iXlc1kY4Lbzsakuh5yJS/Macw2Dn5jUsjdLGZrLG+GLMNEbnu4s4+We0IWxWk
/qEnm+Y7nOWvA8lxSE/VnT/azrXquE4qO8SduC37Swd93vXr7Bfe4XDXyRQCgzCbuEq9Er06wlCp
+vILEq6HOZz8b6UM1bYb6ulgTEb31ZteSPopXxBJbZ3auHkHymGXlE34TWfHxp7hA7nmFE/t0u87
I83hKjNov533Harcou7JupxYVp2w6p5910AC0drzXqMwqNtFvqhZfGchKb4rJ+G/51+kXbX3oZX7
L5mMnVSUL5Me9YMTiks2v9RuYz2FbVTdheX0nOo2efaQLl5lb/z8fEbWKRZaHdY+ZYKt1KgMvg2w
1wc2mVWQ+glUQA5z7+bgQot7KhiBbmqJrsRRut8sgEv72rbm5yhBWCJE7TBvq+bnwvVgCwYm/Fx4
1E0luy96yqwLgsDHthu6L/3tgGK4QEgU2us0zfs1ylhgZxWNx1HZzKhuT6Xu5ReBwM8fze9R2Q67
JpyC/ehH5KOrnH7N5160MVUw3GBvpbn40b3zRY/7wYB+hreJe5/4Af04zNui866M5Upk+nkIi71n
TDG2zZYFzz97RlhvvR51zSTS+Y4ssvnu89GQUchUKB68xZDxTCz7fTt1+f1U1thxFS9Rk6ZxOXgR
0Fhqn8zBsU61DWITEOG68Q3fPvoWe2+ExGCPhWVwcsDX8jq7BnNQnVIrr09uXZrbrpMRiS1yrXNP
xYxouwdbmDlsdDc4NXZYn0rf5SolRfHuc7NDEJhvMjnS6Cfmcv08eMwNrPwW3tG1KVTfBiGZZR/c
BOK06E9oDEoycd8rY/jpQ68MCnA23sAJ1+iDLjKMTHA/3FTBtBVun55Qz6YbDx7/SlXl0Z6XfUsb
sfJcsTWGCK+Y+pfI88c8vyUkF3OcLuLdmNtdW0+k6o7E3HQur4K6b7gx4oJwv9gLw1ekM13WvfaN
XCV2+0sOZ5d9nAZmPfXut0H4j6aB7BP464FyfqMmKClklLDnD166aaghjdI9h7p/tef+fhlvU+X6
7hagwq7LZClxYZIEkPTz19BO9u7i/bTtbOfedEP2MRkiljXjg6xKiJzhr6WHxKacam2kSK50EI7r
trDWE3zINaNQsbLTatgGemnXxtwcaYaI762WFz37940/oPiClZm3y8GZi4dBYetKy1TU42GSriIw
3oodtWDWb2znwd7lqb/xCkaOwfxOx/lQO8xX56B112XtgkCWs8PHRsnq8bZqRa1s5if0zOPZr58J
tsE0XXqP0jWXte6QHFgDUgHHA69NSnPTiRCNT9GshIDbuhT9g4qSR39eGmj8s7XrJJWJYZY3kBHB
BGhcU4V3hdSonRYYoSoqD32njqXjD8wmjTsxTW9i8WOvQqiEMwxvyLG+q9q8ApUMEDN3yrQ3wULv
GXULEcD4o1aDfehx+1mzJw1rRNro5VsMiGejudj5LTaaZWLd1M49Cg/IrB5E2YGkz8L+auvwCvMQ
8NnjUs3Lot6im+22DeH2Y2Co2JwsxBOkjcHBHvJNWtnoC+gjFCKYuBvs6IRc4mi7wbvRD/WmCp0P
Qzkwur0KZdISXfNhQX8X0SFbHkRu39+6toGNmerTfZ5AYwb4N9dphhhlEIZGoMfQwl8uQTboI6ac
Yr046a4ZiRaFAd8vCyJh5R1BAj/QxlV4OK06Xb6HUn44XYXceCF0WFNZoBJq47zkO3aH7sUfnO+N
VUMwwKDXe3TvhMEwOo0G1rpx2kwmjH2BPRJUbxMCg2esa9KNozCu8g4x2Yjgc0hQTtn+GyyOdNU3
HgpEn5DlRg9su/gXWHIMV83cn5GTFxtpTl89yzB2wTjetfVA7AGTT5Kmx5Ou2JfqITiUtmh3iYJ3
mprLoWv0T8UGKOtZPPRzezdIGOlaZMGGKPPplI/zBAeaR50wN6i+9QHz+QtwDtFTS1ojgXCqkwho
c8EZkfbWJ2T4BlSQ7BSpplo1ZtBuIxEpdOVgxqFUm6FM21OoU4QDdpcO6J2A4D9Pauk0p7pPz840
hlBQdXOyjBZEkRzxDTLe5mTT39SrcqztnTb1Jbj9wcad61PgB6ye1uRxl4arakKZO1VueAtkn05Z
OanYCeRPRgPiJHEYOPn07islOpTO7WCzXKXmpjDz7uQ1CPOb8kb7aKdlO4jwWuX53k5bLNqTkrT2
WmGMlDerctDVSd8+BAR04yZSyMWNBGvkzAvw3p69XcawvZzs8VCGKVgOe+bKoAk8hq2v4Gp3BkpN
jQUTtJFxJKKXRKXu9HlgLhgHnR3tW8PbwicWh7b3XChqZQHFP2P+37ShOgnPeG2NZIy727PPU7Tg
Z2JE5HZpy5OoGnVayuwzJvx76FEsORpiGUBUvdU+LNkqIVlrJW+fctN11caqF3Xi5anDknDP96Vz
kCEbf2YWCKBbsvFujyyo0YuX9XtCd7+GQ1LFPEuOn4dqCfrYVdaLKtKS5cQLEJfzj7KIWCo/H46Y
egDTBftGzelpzvPs9Pkoypa9gaEAGhE37lxr3It62AVt41Z8G81rVndT/PspzsPFiUtKr13HW2BS
0OWFUCIMIU+fh9nwxGmqXosqLX+fDnskqsqX7WZc6kLFvet09BoJBECtjWPb5D8sGlP0rjI8Onoo
WMeHq5NH05GYyEuDJaQifZhqGhvJkH3NCrh8it4xkJwEaNxKgRyIDm5rj26wXgpjI4isuOAmymFC
gigjs8YAora5yZGMVl3Qxmn2voRWgjYINywcdNt1qw7Sb8zYSzyaayc8zjh6rMc8DFcuswejoVct
cvPnqA1S73sW1tmMfs12H09hNm3z5Kbs6dXNl4YAus5oFGp6UG/6ER4uwq26EzexOvqfZ6PUQBc3
3DLTP8/q2//yGgvSewJUYeBrtZgm9u23806mLG6K20+bvg4dCCe305+Hz1//+cgcHXctozz8/a+/
/87v4+ePVoal1iVueOvfJz9/qP58uX/9uroNfEw3ZPH/vDZcu3nxn//n9yvx5uLVs5fg90v6601k
SeZvp8l9xWbili9/e8G54e07b2KbTmt00vbUHz8fFbdHfz39fPR57o//B5WjiLVWz5/nPw9j2iLY
+etng7Tz4mbK7j5PLaLAPresfnToaI9+SJJ1GQUIyW5P/zoskka6Whq+7c+HrOn6SJS4twkL51hZ
1OJZ0+EPODZ4/FcNwWIGmng4kZt68bo472W5Q1eQbOopQM5xmwVOcnbXkOM+Jmn16ym1vLUo/Z9s
RPXKZHHe5RhyOKVC8ZVq576frS4uEjVdfHQPombIXZaAM20XWTu3xqR/hGBl5+N7Qa7kbslI4/TD
BfweX0qmvcL8EdK63GVAHfTZX8rgGxUbLt0s5KumXMguLh0ERS5rj58X793UX1vPfoCwAu1zEnjb
4O9T3RTbhr8YsbkE36Pg3rPMGPHej2RKi2MyN0hbUaGu+qR/LiQtnW5HDBx8sSsrccjaxd+ZkfdF
9ZCLFGYvtFb3y+zEIhqQmadJshoBTxyrJ7u46NehNud1BNvP8ZNhlbsT8keGwAJNV4sGfj0EZbsu
i+aH+DIOzYNwE3QJeLmpKL13qunelqRdut62LNF6s3++D4OV7LKexiN0+s3QuUe5IOPzJFOECYYF
jR1g0TjDzxpbKqSeptQYtlZVhefSqb9N+k6b6jHJm3HXpiHeEAQc3cSFPwZF3HoeNr/qVD8ZfTNv
tTnWa6GmUyqzt1LGRolG0iSRZ620u7HbrN2Wjd4FlYqwm4GbIKiNLDUaKOHefZVY+2x4zqBvPaa4
Na5qkZwN+Cknaz7MQwUbyTHPUYQFTR5JTDN0JTZmU6qNFsJie77K+lflppgo0QLHlpci6/WqYr0I
CzGbOQS7KG1x9shNhKNptbbQgtgdXveeaeVXAx/MfZcs73Ac82uA9czRbcNTSdw9PLJhfHAgnomy
fjWKujsFrp6YdWiqHbepLoWo997gmoc5x7KjLF8MXsLJA/rAeWdgDJiE03ZxCzeuApnsO7t+o7sl
NLK1q10a2MOd8FempuRTBmP5WiO/RluFdwfjTQjpDRPFMqAhrOjdgcDKbQs6wD+IJxqaGVE+qhvJ
XPaUDA/wmDBeiKgNoBqc/NZ/HuyQYJF5NRto6TxzI5HYoluEfCEm5R5KksvOStTsRGVNHYxm1Umc
brWAJMKKyr4F0meHXxyxcWTbnnvwoS6EmeWWYbuuvRR2OhroyaqLY/gjr3R71yQ7mbQYz3j2Vacg
DN2E1x/i1atpwf4YPBxKuiyb1nIecFzyumgH9zXaZLn7fSzMYd25frZGg2NeNQNc2or1YolXZ4Jc
KpT2NrKiccoqitQ2VfjIIFUzDHSGmvexCapxBMZSM54C+t6zi3ab8UsicK6D1iiETdx5tCjC7awq
OsjQvha4aq1z06W0JyNznVQszIX5duOA1QZZIAafDn0diH6xfChGyUYlvhlV/aHHyT2SZmesqOT9
XelD1yqXOk69qOQ24ufRptp4PGQ/M5HEk/KaLSV3tcnIS7pkI9aEhSMwxlDQOb2WmTS43xmeU4jn
je2xdbpJ7LbTvG+ratlJZIWbxB5/CVHND6yAEGEGrVdtM+mjyGUTz+OAKmsp/YNBN2fB+D6V9O6p
31Qna6AAc0z7xTXKJC7RtRwI30EPvhjRfh6SU4PD+yaNZIak2PmVeJeqvnaSOY4xeM4NCZb3S2VF
l6xy8JzyqM3aklv7dheNTjMeiEe6C9KWJi4aSmaUwc53ZmiZFMqX5nYYSf1ygeZUHxx7Ip12RtOe
u6jOL78PNmtj70QfSZNRYDGE2JrRyOhvZYGl7oImO1cKmoonSM5kHBgwAgQcbBRta65PHcT5Ew0l
MVsh84syTVoU8AppWslKdasm7Z3XpoeoBVnB3xA+goGvYZ+OWxUEe0S5RtyK5tAnul1N6g2PK2td
O7VgTJ7Zm5duUD4eOh1jYTSEOguzOK3aFJorq7UxS4ChaNy7pn6bFQYBAUrvQ1+ujSTqtuwr9paz
25BE122t7XQddpFYm+ibT8LB5EdlIvZF2v0cy+GnbSJpzCl2lImTUTspjDX8+b2yHbwDnd2czz5Y
aLiaEG+eYTnvBirYewttoKSXWWmom/j/kKXKHvRV2KkbS6Fel15esoShRjqWcscsx+ByQ+hREsOR
gnrFMK/a+alLWGWLrPe2jJu/ATbi7ZFFcHfQ7xnTYjPNiXAGz3dRa+9Ub7NGae7MiN/psDzeNXx8
c3ZHmTrGtTYxawt8RKm5FcSdfAbyRnwUxVo5d9ESRjBrcZILbNxTgnq8jikifhOSxXYsbz1WWMzH
qDDWgaGn+6w79XOEU1cf3uVUgGlhtA+tU/8UecRF5w75Zcq7r3kjxW4GfIkrPcQeqBmJNGG6ERXE
uHauQ9yarAveHOpU4fQ2VmN+ChimY8nlWhvyHJZ4bIfjkE027hiGXnuwn++6iM3FGR6tJYU/JzHb
qm+SGEzgrO38DUlH+TgwQNrIXLmYyim1roC84sqFwBb2MZJ5vRyGNP81Wmm9dsgVwc0nZ8BTOD+K
IkIOfjPyc8C69hZSwW0fYDTAQO0ALjMfPN3mp65FmYx77MHA8g1W1PTDwF0ZQxUZnacoSuMCTiVs
LJth2xRVqwDe3xUowDznRbO2dCLvG5ceNpntOyvCPm9l6EreP5gCE86c8eo+9eRAYpJFFKLnT/Ye
5VZ77ySPQ+uUX+qCSEaZ2vdwFLAtIX8kDlXfbyz9rdVJ/eRhFXCZMvGN26156kNNWe/hGBMlH/Yg
y69CD83JrI1pbd6ewowrNz1i5CO54NMhK8AYmiCNx2m0PgxRnMK637bRtBkaL/hazkT2QQIEJcHP
yZmr6S5Ek4e8AeMXAyjJS6Tc23YzbgJrXO4cPmZ8sNzyUChKyJlfhBq7iOcm++5hi1vIcHio/Sy9
MjO99lNdPolC74GgLOhoxUfv4Y/n6DaN3dL8yPs7CYn/3Iw/ACS6C4lljP8KqJWZwrOw1KSLa8fe
SjEdTKvT3F0m8g1DDyfJMGuEAbMrIfUw26LsnBuzYI0cGZLQvKg0EXun9lnaKVM8Ltyjaf8Uod56
80AOQpFaW1fgD8iQ67vtVFffLqurZwEXJmWPP2C3HEap4kkgVsrnJTbqzL8fpIdbm4Nn3dzuh358
9Fyvv86yNdlBrCGuq9lGis/umng4gikn2zmmGZ2Lhhp2VF9bO8NDDPASVmW0L2v7R9CbziGSzmVy
gBGcydn6o2535qyHY8G8aeV0pGjp0D2XU/qOtA5ANAjGbS4Xf1uocVeYlX/oM6HitOhxC9FYcQWp
y4abEObUYmmxd6o4GBIMptpR3g2supawvAchPJTASYn9Qi3d2FYgIgYjMIgmJHMI7ODMsdP7pS0S
XKKobjKiLIqwgFbFSkFYT+wAVSGSNutDm3szEvb5JWss7+SgWMD+ACpzNpVRrMK2WE+dqL9YRbnt
fCDlCnbLrvZLXCWTSKxS+I53EfA47paIlQMGb5bZEQsVYiew+APAx5A9hviLm9CqOy96t9xkOAwO
yHDneKtbEvUuHWW9semy17UrqBZCtlETT8at7eqLlRtzXOqGLG7a5dNCOwvdNWFI4InvGHWUuPxE
+Ckkw6X1tlYmMxTSiEUwPaRO8s2S4iIAUcH1kW63bfcmZG1natR5nI8Qp2n8ZIepe+a1O0eIHSRM
GOf+dEjyFvVnF8zxqCJiUPN7KZvg2jb+GvLJ9Gx260S2xqs1MZUJ2gc5N0lsONPPmVrxrCoaT8C1
cyiTZZtDx8FCykn2rfuaVF6yJQPb+O6Pv4gB9l8t+bOey2QbedN8xrQoPLRqYQ6XJmzqeXbJ1M1K
wVXPJfbGl6TPrcdhfKpzGwEEtIRLJsP8WvasJED5uxzCyUOZaeChQviXobh6xJA+pCGs6bBMcX0u
u55IvyX5mIs2uBpiBsH2IK/6aORFaHD94tcL/IvxaVAuqIluh85N+7gNlmBF2RhdI/OBsde5nM19
2lb5vl2Wpzrr5ZkRxfzYusvaWAx6DS0ZP3nu16ZbyJu7HYDt9jK33+vKYXhnFgEk1ECsqd0RA6Xz
05JgW8J+MDy6g3nM7Oz7CEwMaj0woclgpQVG1F0WjV5cTUa7gQ3Ex+qoh8rJcQ8L9Ag0rJmxL4Wz
rgq4z2E9hgcqBgIx26S9t5eN9uII7uLWVc68DXxTxTor5dnJum2fh8tJARRvhW1ifWCCeZrGwDjH
Y9zceNnOmpPxIYc3MjKkbOQUntGOTscohbwt6vFdNGPDzGhxt02tpqNHw1oJ0W2GrEFWW6bWRmd2
ikQfWNE65UVaf1HYvmBh5iBaOs9YkMyOyuLWq5OVLfDkWZIM4z4jSc8iVPd55oh9xoABBHRe+079
leE7q4irRDxJWW580c93ToWLFfMRDHcKPHmVvvlbzAyDLO8HXFQDv4Q63E2WOMI3aE+fBwNHhnU9
8cHUlSgfyrna+lDbnwbu+KMcOo2KwBzw3Qi/qSR9NxBv3hcOyn+6pgNkKmy1EmekZFQ1zm1luZlH
fAOr1mZy3PjpoSToYd2WTboLFt3svRoblMQHuZtnUraN7DbjF8yeMbCUSbfrR6rDRoRfcdS9FBoH
usUZ29MUiJqhiPqKMLbnkojENjOsH7OLn/qMme2xpyfeSStsNtIvH+xFt9dyENNdklQnvHPtzVw6
XqxYhXZqzM3N4MsV7KHsde4Mwid6THIcAwJfEkpKITkG+MC0xZ2XvkX2RxMMzmtUjfD6/OJbZaAP
ndxJfgNXJ+KAS2x0/QONtc/qjeBvzJwGyoDTxlk5PpWWbC8VJYVXip32e38Vso4ekMCADuzyfhB7
NPZPKstqrEltZz0GI7VHH5J1k/f6IPMG6kpkNld9MsvgPdQ25M0m8Ta2Nz+5fukedK9XodlBVrAh
IZdK8Y32uClVITwBDeENqk1P9qHhp4xrl1++CwuXDGgMQ9O6Yo+bm11F0jTzCYjviEH6FDe6RBYt
goUAyjpdUY5dFxKSwALXWnAqUQneJq1Wm1xYbw3xllihrVF67N2+jnZFbWNUEVUE7s4VRINMr2t4
prsiWfaDquvNVEN6xzF0DFOmn/XOdyv3YzQP6EdWOUi/lwjn3rCsAYNLY1+ZpHAUAFf2BP7jJ/rS
lsa3qZx+pjZYSKlTjC6WGbu3xbUOlTHfLUMQXWojb89W1Ycb2FQYtSGXBEW1YuXYYst+f7t11Zrg
nTZ2pq+ysilTgmPTl6z3brNp/aZhqw9wu4pkvXcop8Q8YoGmpn3voJD3ExvKJZAMtQT8unpc9xXT
3LKSOFXJ7CvpIiC1YPw0qfB5anJsYQFdi3aZjxjp7vJkDk6pF1sWTnWL0alNoAC/bC/q90YkCPup
lLNL2qRkGlL0x8rrf4GHm7vQaUiwdLJxOzJkw2P4jTGZv5tTB1jLQFpDFbRNbdx5SNI6lR7+npOj
k8cGcGmemNdq1AsngyRO2rz+sckzXAbyFDqENrDTUm+B7RZHaLDDqi/n/2PvzHbjxtYs/SqFc083
500CVQV0zIMiQqHZviFkSebMTXJzfvr+6Ex3ZjpPNiqB6osCzsGBADstWVYE9/6Htb5lrKqodHbt
3NdrDNa6JrZ2I/bepRbjWnAYheO5TRijV1SOuXiONN9jvFgW20qPhlVVTilih0FsOA2PvFgEk+Y1
vYleWZeuMIA+eYCebR3c94hIvMZGBnh3spdRpKwbG1XOPu/zW1+AiisK0Ii1quuzENScbjPccAhP
AGRS/5LFzEFiZmtxAo+akMwHKqiaN6uFWCYCdu5Bk7Lx8rP8DNdhU/vbSScpgSrHq6RYaTmx4K2A
OMKmbJ5IiYNhZvnKbuVIT80Pri9H2n9XI5UMjl6VTs2BE+5gj26K6aZ/bXvTWCaJ1JbKYrwXre3A
j9ZmRfkWSuNrlDUZW47iXdG0b4eyCJaa/ChSFd0gsfM2wknee2cedZlhtkuw3DteL1cmLkIIWMFX
0ywuQfJ9bssgezTZk6kI82/Lu9rXdHdvAG1ZDj77l1xmYBGbUjuq7zBcrIXLKSxsztn8gz0vTVZO
+RJMCfd2x7DI0xIGC+VwspovzDBgncXpM1EOY1OLQ2o0xtKAdLSsvYqtaJRXawz8B3+yXmuR6JtY
j9LDULoNQn5jbcZdu6+KpKVB5yihjrwWwTdD1PKq2w403coD9VgmydYNeTKFD3/e5tzw6TZKH9tI
aM0Xa+7vU/hSTVbHx7AZr2UhYORVJTRdDeSmK9kQQjJlkoAMq4fQFErqgThjGDSm9ltgMKKx04ZX
uXd2UvTdwgXvt0g73zo4nvY1w0is42ndMHLkPuiAUA0W/zxQcy7+kapZ5YFdr0JWjhd/jHaWQNLF
hDZc2VVgbQXLljRyD2EOorYfDcimBIltE8Z+m87+rI+adyR23MfA2sd7YZ8lQxZL48TR4G0ZIIR6
0+cdYCoe5Kx+BlbYHzD2yW05gfyWrJ8G22WhT/oLKpJyTrJv/OP3D1nvvJfM1pj9xdWG4UW8Z190
G3ilfRPV1ldqSh1EqH11Aj06R2PlQZWMT6IDoFbFnbFmJNRtipkDhOOMF1gBiK99kI5xFj8nvjxP
fUvuHkOwpJzXY0340CBnpWDKkoNZ5PsqVdkh1MN6XwzO1SrEsDUrDq0JsuKBf9oqjcJukaHzeGso
19raew6IJVhFvQXoOLXTZe5rA3WA9ZiIYpe36tWUKn0g5rvZsi5D4dFZ1Tlv6weKqnE/6KTaT0X2
VFAjjVFj7Tu/bhYYwdeBSGnTgOlxIvX2sksZmI4eBvsKRl/UmNGh1rlFWyhTG60COx6rlFZgwoVh
hMmhAmhwg2RuMwvZ18UQelcVSVjgQ6lvxtH/IhCuwc0jiJawjnKNdYusQNnsKlPCvBpDZ+HTizUJ
47cULAKDhh6SlEVPM0n95E8G96Aot3nILmZMtWTBaEycXFDhSvq0OvjLeY2Du3MWZO4mId9obVc8
5ao0mdBERXDK9WFHCIF/yKil912Gy9wtIUcKMztHXabtBgDXoUNfriV3oxQFepsR/jiWwSjBP2GG
RrbN2VOyghrUfiptWmXtlEgCDRydrEzLmMp9UzT9xsPitfJICcAO0jHSdF8ynpXb3BhrSoVoX6Cg
uuSlds7Hutu3bqrOfkh6ID//7NTzXEbWYBycXCI2GQJACGjhovQcNQQvq8yJb9IAcurYNea2LjJO
q0JPlt8Pfq+jmxRaSYJGY5p77o5zPFIq6lV5SwrwxTIZ+k52t8q0pDvyYgreQsDAw7LUd2XanpjK
V8u6qt37wGU5EdXmvSyoUYIe8VGXshnqYuNrQYrAbSxIf5CV/dlj0LLECsS3hL9jTSyX9aR3u6b7
aMrGfqgsvbn1kuahUOin6IfNZWqF2ZOTRR/SdbsPCU/QdcApTzV6WEejFY6n8abTXGsPmC09eaa9
nfyh/Mw1WKBBNJN16sro0Fo10/F2FOcoRVMShDJfDl27Co0q22us0oPYfFAxGOh84k2k052Pcsbg
djgEUXJa56bm/giSxrl05QQDHBCBZJR3qeYPo57DTlX1cEuipMl8QLcfJ1Tji6h/wifnzz0uWI0+
ux1LCzjqUH7Ly7RaeomoXJp+BEX2ONz2vhGea13PWTfcFQGdL6MbcXSYc648zAyM7yPwmXoRrbWQ
qFBaa2dfqTrGBIC3bSqp+2u0tAlFLTo4CUOhoakzew0fb5h+MRzjgjtZA5fNONmsEblx3H8RxgT5
XpPNPpbg4Jq4TteTmbo4qCK1s/E63af59K3k/R17XfFg+621q+ijFynP8qR3+qUfOH4SkaJZnXr8
j4DkT3k9C1tsDxR8MAXkZpdsWcBzYmhMz6ZxE9YstwGR5ghI/GuThfLSu7I+pB3vOhxD6ui5gX7q
4HWeTZXt9UreW47G+Blnzt6rawqahhQRQcVl+KH1OIz+HcP+5tB50crGIrAYZRjcoxF+snuPiL20
So+VG2RXU/HAE0YQr4QVMyFjmnfyE8nwz8SgO0RmfsOOlh6r7Ha5b4ybNmnMqxy+m4KdVdVm7s3g
hurc6vrJ4MxYqVaa62y+RbSM0a0bxijv0Db1LLCcbJLMBdvmLtSkfvWjg3K3mK2yt5Tx1NIddHWr
ulvZZNlNhrmAxjM1XhAmYuA26gYv2NQ/0y92/Sko4W1bSSPZ/nApGox/qA4F2yUiNJlZtq/FkCBd
BM9+yA31hY4Aon3NneDH1lrHDi76UR4b9OS8KhxOaUbSQz9YD9Kj1rONiAnJ/MFjQQVyo70m3N+3
2CCuhgX/EkbIwSaa4ZgkRnzsRl8smwq/kQJQScva867lQ9jQb2tT3++ytt12XWrsK99J7gKEca5e
rQXn4jK3upmI3ya70Q17RjIQYTVsgaVvhU91zNg1BAd/w6te4GAEi4zXtfiSBRQiwDria14ANVVs
R5/YbSPTuzLZc+30YuYI7vLmUHqg0/N27p6hC9TdTsM2dLJD/TFgofmNoDCuQEHObMukr1M6XzXw
rDNboWsKYXXvNcG4HqFErWSbn+XUxdRPtOgyLfWTzqyfwI32vkGgzM+1iJ+jivFO5eEX68d6Yxuj
RUdrLB2K0C7vylOZZvUqR5XJHsrnEE6c4LbO3VcvdOU2crt7UwsvdYTgtk2LYRu4iqYt4K+p7ezq
jB7MToD4bIL7hDlJFuyKDPBPZ4/dtcdd0uM7eHFrBp9pGl8N3IYsSkzA3amLyyPY4/7buMp031t8
Cm6wTiWzqe8fEscQZzu09RM0plW40tgHvWR2VR/djDe8kRb6S1N3LSK1yDtaPfK+VkVim2ldfipj
qMyl47SPEW9uhr3pE2KqZMv4kJZqCsW+VKGx8Hu//DqyIhpjQ7+JEtAHpec7B9OaWho5F32nYlVv
5dabh1ToUTHCoRpwCMwRXo2moh/uxtGVR60JPgbGQXcxJPRNWSBU8L/Pqwo0pgWZquxuGF+5tcpv
vPGbENowrCwLZSdQGWMJ4a7dVs3sOogT69GZQGzH5BAdVNBZj5Wh//pLt+S+gxY3bmpiJYiqRxae
FUO+H/sRs0AefhlbK37MSnDMvnzqzCC8660ezUWSXP0+0i6AD7ZlFDww1RkJWvAj5Hm+uKZFEJEU
M+8i2qE8dEFB1IZyH6Jsuml8RzBOSUfYrkzaMJkd6wwRBm2OdezFTF736+plClhhYS4oD3gzu21d
M3PwUbMBFmj9TQpZ2nYQYRezvHxy6mGrcgJn4j4rzs6ID7Kw2OSOSM3XHWDBDdtdFJWOkmdT5t8Y
NXjbytRRMJi9taci55Gg2FgMOQv+YASCzFTTXhJONG1an16W2no8uRT8y1L2HfWdZux8w24uHelx
M07bfBrZPTSt197xjREvALt9Qh6ybtOo3xXI0BZ1kwY3yL6bNVtNFqwB7PAURbGXLpuuDY5dSMGb
q/YbLycDwlAp3kjA2Is8na9iw7ql07VvaStbLD/OMdecYd0MMl3bz6OTpw9VqNUP1G/hQteyaOuU
1Ed9QY/dT810dgYGZc0onltLbx+R2NLiiny8stoxzlMgV20qkhMWDocN5Pildhvj9P2D1hkse/BA
Mr/g91iT7erK77ZePB15rbIDaj3jLnAOcdum11IF0HHzgTPNoK1xhfUwGfeNr5nPxlum2jOpQeFT
pJnhBaLI8+D6pLw4QuJvi/pLW6v+knvTDQ7YwD+AvEnsxcTcYEMqDCMvjK+siQt9o6pafScaHPV0
4la2CBpxyti8be3sNfHRXg5JaT2jk4oQ2d03HR1J4hrhRlpdfYpUcRF2R1qwj0CtizpmPFNSkxqj
HVTJKw805dmdjHZndwKEoug+01kYe4xj1pGRXbgbBiPf+AOemTojBI1c147BSWq7A61qJNZmCJtY
4p3DbVY/RUzFSfgsXjPbjB6n9tYlc3CN8R+gv2o/urK5G0vDWw227E+QKg6dtBzgceFj6Ff6sc0b
ILajNq24J7xtbxIr9N3x+d/NKj1BJpQKydO/z1/5TbLoisOo+c9//8Ovth/y/Jp/qJ//0B8+R/3n
9/8cfsiZIvqHX6y/A0ev7Uc93n2oNvvl6//6J/+r//FXLunDWH78xz9e3/O4WMWqqeO3BmPnx29I
Ux2TLYCJ3xlk/0Q1vXn99jp+NM3HP//EH2hT8xPITccgrNbzQHCafM3+QzX/8Q/Nsz5ZAlnajGWC
WmNbeIp/wE31T9jCAdkATmS8QdzlP/5NSXji//EP0/8E2Mj0PMcAmWo5vv2P7z9ofhC3vxiW+Rn+
JV7N/8lSbc9CMmfe0oBK4nsRPxEKwqhI+2rS5C4favOxJ4aMUKTGVKj1KBEz6irQLVZlLschGK6W
UWpI97pnU0dlSEWGKKW8uHU8y+FQhA+kj0x30tT3tZKvmki3I1ZFhF0RvSTqN8OacvZx06agAqbW
Ix/LoyxYijaRJBW5H1auIMn7L75eID0GU7TAXP5Rd4HgNq+K1VAgAZEdpHFsqgNVhpA7JB/wP0Rx
S0V4yJymXdm2WW8cf94c03x/tuqiPbshd3HeQEtjFVm/9rL0+Sf6yA49jq7CMIy9HnrjMkaVsYqD
4UhIw1erLdut7OpskybkAvaKf9GkU/bYBiv6OpPtQjPL/tT4o75FUZEfRRYmN3qYa7epa2qrsKi/
sYjKd5Ofldxho7NL2ki85gb6l76CJGvUX1u7v0nhgTFFu6XAPHGoXLq43rlQCxaQLMjm4yhkPMig
iggwj/raNh3nKan0YV3wu8ajtDQR7ALXAvkhyzssS/mvuKH/7sPgf95jbuEj/18/npk/PeaL+oMw
lPc/P+Tzp/14yPVPM/nCsuHgeDNllif5x0Ouf8La6OBaF47uC5g1//chN71PwjdmMKpns0nULZ7N
Hw+5mB9y3UEHYMNXwUT1dx5y6Fc/u9gNEBNQlKGCgpSBKfNHFzuIh6TOuM+omPo7B+HB0bU1tUUB
X32IYkBUSjUqrhEtQw3ZBgLCTqvZaVH3dikpgmYMPoY1L+kV5J4iptfxSrwRYkPwlSEe+kjRXViP
HeXlrqb6YjcSi1smYiaxVc3nLoef6KuUVKeyw62X2jEpLfTeF19GZEZkructsQv06LhEiEHOnJAZ
Ls0yH4eDUqUPrEtLsuahdYv42Ns+xVLab9xiuM3Cau0UxJxQd5AEEMLK6ePsOuAmJCHlHMllhjBK
ule2aaAxrWUtoouF5COcwteMagLDj8MzEx9Vrl7cQn/wmN/u6jpm0hOsXBlsmxi3eeVcSWu5GYYe
tnqhbjFF3kDXewlF8dqELJpTtQ+QQdZpyCAT4WIiL0MQBgvdqZ79APF13/T7dkDPmU/D1kWaHkn4
46H3AC6MKhuSQBq+6APSBz80Y4wa2EadUeDcat5i1hLslrpF3PnniAXnotcwOdce+5wcOD2Yebci
NWDEfgaQ9a0lJSfz+tsMXyc7x6N0hi96ENxLDjgBnKFpdG+jBvysYfdchGy7XGk/QP64hk6Kky7Y
mTJ6HYQ8TKoj5DXbl0m5cSKpLaKofa+y5CRV9SSrfl1b7tZOTQz2rJ18O4crD63X8IxLoJib2c1Z
hMaJqhQhK1otGNgmhVHDT4YKnpnPZJbMv4u6bb+5svrM8EASRBY1ffSAQAyunO02Yl3lPpXbL0CL
f51o8y3+1yfaTfz1o27GP59o86f9ONFAqNvWzCjmiNINmOG/nWjOJwMACQAOT4A0smYMyG9li6u7
IPj4Hx/dGQf140TzP/nCsPh9HQYiJ6H4Oyca0J4/nmhQOy3LcDha/RkGots/cTlSnmp0dTw5bDqL
TdTmb/YYHgpZbnk/PSTohxf12OyRXNw0I3DzSdavYM0G47mUXUVMYDT05aXLPeuWGmfD1Og9iGuM
VP5LPfi3LA/JpAn8LzLPtnCDXpH8X3M1XYG3YmuNEIdl8Sg2jYZybhie0UhBXG2/mmn0QNLMaujF
Q1YXh3JCjQ7IetbW1avJsM9141xhIV3V6DBa0y4jmSF2Fd3afvSYWtzk7EZCrXCXcIEOPJEHxbKd
jbfz7sThZ7xPaBf8VZphEGNCiBsUY6r8QsFyFjAt6okZZdd8gE1+Z5F41M18l9nl3jXir23JYxz0
90wG0TCJOztvtmLAHekR59UW+TYwu9vCTDaF6o+D6h9QKJ1yMjsbNexkN66Roz2WyIAGdjtkcRxS
M/mKqHSHpGUVKbyZvUvDTeva2fjPkJAi9s3Hau/18U1BtJXmQ5hTvX2g793Q/m+yJLumMRKJrPfS
VUmWIKCqr3nkP5PNUMHmGI1F44wx6xBwgrrYRShV2zQ9Dy1Jbm76dSS0UMwMCyx9Vl8tRJatEfqu
cQnsrUagi/G/GX0L45OfcudnjI2ZbrnZO11evPddhUwgqHdpF50mErqY9zyIdiAsk9Wu8m/yFsW+
zwapYpJxMRgrLzH7Zixmpg+Vdpt5zOAhn1/VqELMBuZJNl1TszwSxnVjdP4x0OeZ1HQ0G7lOlXPl
8tmFRXStKh+DJaIGS3x26+kGXd6zV6qd06rnLgmONYS+cvTejdE9yyZEmRozQMv0205q95Ptj2fL
qJJnu2ViMDiti1pQn556bTITZmYYS6eefnERKtOBV4Mu4rktwnKN570wyIu1DXPBnKQmbtXiUgkL
z1gEHUG1UgVPoRa/JE52LjX2X7jiUnaGzh4LVLhEKB4uEffKm1JqaO6zAvGQY87WuLzVty0PK0x3
5HBmzf5ictM7UWBacmBn2A3gCb23bzITTA+JOGo1FuatXyZ8rcF897NW3Qotu1ODxWjP7+1VPeLB
I4tJm+OpRr9/rx3/zkemuAqgIy2CLAjXfglFVTdIX9QnVPmYaxDcpeQVNq6+6wwt2Ed+M20k3A1Y
phg6DIMMt4l/Sx/MoBIfTABSNjiNON8rHydmXbaXCekMYkUkvh7RdrUGSsOwSoTPBQ7+2sfQo2vu
uBy1EvTmiEPCy7JlrtR7med7psDoZ605lDkpCWiVVwKYT1USpVAQsNh2rYOdo4UawCzyaLge8Hk5
bLwUFWXoImgNU3YDA+ouDXZfjFkC4UkKqSK21dIV3UMDcnzRVfF7lvUvYkSuQvFR7RrCI1AAu2jd
B+1ejkiYPaeGK4HwEjPzgJLARqcUX+lLZgatjMlANlbO7Ge0dZKUKhUg6IqfZYEyHFU6PJImxSDb
sNLkh7VPS+YWmVswaymnahGOvO8YGNHHqQGZv3HqkPuHXTjsAaSSYgPSTE3th4Y1xgkIfK/kZXS0
Q1ATaTaEJybQ1zDqlrUuv1Weumes4C8y07aJxqzuGbXepRl6Ol5mYsYqYqcMk0hqw2cXVGcoqqmp
/N3/l3nH/8AWh+vxrwuC/529vkXt658LghmT96MgMD/pts//rZn8hbqdPuZHi2N+AkfveBC5bKD0
32uFXwsChhVzBIHAQiNM3cQG8/uCYMYizoWEOQ80XPfvFAR8vZ8LAr4IZDLhoNgE7C3mQcfvYLhJ
EneZFzeU7RHPyZh3KNYblnVOTYIVDOiNlqFxitrPQ8ekgHUjUgRrWI1J/NSjLlj4HNWhLm8MLwBu
6j02GhamSRkHl6sDVNUiUfoXU2sxpsao0zsINOLUFhM6jaHlgtBeA817wj59qFIy5JrY3MsARVUO
GWjhBS4Ag2DopA4IwhQZWr7YQ+ZLxCNsktswhlYbILDaZbK7i6Ag3CDSeEstPWC0zPJwzN4t2Fo2
yxfm18Vn8hYAFDM5ye32hll7uYhSHxeLa2SLyBD8IZu/FifOMmnAlbjGgKvEgnNeFk+OTMIFHoWN
EOY9pTxLAp+WyxvbbV7j06FTTXm64uRGM6ovOG/ideKzry/Haq6P9lI6p97wgBaaNxZ2+LWdO1Cs
2+xVaF2P+T5C98jbgjohctir+e9C8G0rgy1b1DCUibhHSD0eL55R3TeTgxR1voacZNIXCURO/BYM
nu2gf9I5AEKTlOruDQzquYrkswLVM77qkcFopCQsNExOvGwbc2SZSRzXMhbjVnOTYeGicR6lZGCi
+euIEwiPT7Y2SiD/eX5o4pxEMjYCynqMi/gbG6ic9kysMEntIQNtchYPKgntRQ/bCEtzA2LUdS5F
lz6D4tjpGZ1uz/c6kbRlEZtVxOOVlefB1mpA5wa0IVF/hlRN3O/0AoTdXVJnE+Er5V2VZMexaGlN
JSqhMosNsk+rfSDVgztmX3nO7pDM7yUp7AuVioOsg8+JHd0hOrxlXs8CpwLzWg83VPBqGzXjMSh5
SfFsx6xW4kvaQLUJomlmO3CFGd0dP9TnTCd/kfUBYhtreIwS7IJB7LGv0D+0knVF3pjkoCtYKL56
86fqW2PqV+IThlXKrnBpuuNrl/nHRM2phG4nnM9GHSG6LVoRfdNHbBJL08k+ptBA9Z2OYiqXWeN8
q9lT4Qq0MN4xra60oxOxLEQPTzppk+9DVl9mOpxKrJuuTNEmDfDrzF0QRThhBXK1YmmHGhGmcy5b
q7trD9urxuJpjhRaVoDbtMk/wC46i7Y6aH55YzbdE65DhEGweDrkD1wa2d2ITWGtCr6AmNSTckjh
KyVRh+mEkjI1YFsqZ42n+6ZOsXEy5zkVybChkHskRuUWLAqFEYv4lHwwle1K0kbLur1DLZEs/nUJ
/TJO/39eQvviPX4t/u0u7j7qP99Ec//54ybSP1kmc3R9prwzGZ/7zx83kf4J0j7M7e+YyF8uqR83
ERO1uTdlxM01ZDnziOxHayo+MT/V4cb/MrwTzt+6iX6aqGNjZi9LeIXPdcmQnvCxP1xEPjdPE/rm
tNUt+UFVFxJIMhrFNx6TcVzZaDByMgHDrln6WPo/etOdPfdlOq7QdVQf7mQjT8/i/tjJ9q7+Ze7R
9ZZie2Tb7WFiQoIMHk5ZYcrim5HJL5HAXbfJfWSKUS4xG0Y6LosF/H7wRoFpOuh1PGsMH+EgRMPD
v96u39+uPgjYv66Z7tmu/bM36vxZP96oxid/nrqyvzGZ4jIR+e2Nan6CNSpY/wCyJqmCt9yPGQpT
YZ+RL/BvwajEgOX82xvV+2TpvOU93mCgX6me/s4b1fgOPf5lRTRH8AE299ggsZRiLM1jZFo/7X6m
0msDWUnSErzurRkVF69WPinITys2VpZYAaUo7bVneJE8AC+ytJfAbyu0WskaJfYGh0eZH6XRo3Ah
Ypi4oAVOcG01Ntx2EhXiYujGu6xzgbXZjXmLY5FU6Ba5DikwW4lM7aDr4fhl1FqBkN28abviEgfx
naHh5RR1CQcRvQqyZjyghozfc/qvncPUZ6Ga7t2QhjgMQAY2AKfuYz/rjlNZaZARmyenoxkyjdRB
0T69Gv48QzCMt1J3COsJ8bNXoUCz5994evIwxBaD5wKVRoTpuJdZuUXZ7qHyHc6j7pzpQ15gB/bE
fbpQ6QKikXpDEkNtKghB9nqKNBJEnOnklL6zTjSWWlX8UojgPp60fZ97L9JWHybepmXp6ndD0zyD
ArwJjOTYVsEl0d1H2p090XdyUXtkppM4fGsQX40nP13FgnA6L/TnUKa5btLUy2RBngxrHaWRKo8d
fETHVpvacMUab+QJU9Q59NE6B12JVdZ4IN7irVXeqlWoSpygI2NV4RRuh6rbtgZUo8CZEIhEobHB
NQgxVlM3vfIvZV8fsLcXjLiqM3DfYqESxClVrHs53k3yFlajRa22MXLN3KisIjDakpiNokDbeUJV
GzecwN05OEf/dep8P3UsbrO/PnUWr/9kbDt/yo8jx/lkebRUWPpti6Pn90eO88n3HcDwnCtzO+Zx
UP02tnVc4bCismjD0CDS2/24G2ng6NEs1tO66yMh/VtHzp96NJcFlO743IrstVhJ/fFqzKRZ+OMM
WYh0LI9YWEdrX7bkrVnBPd7C7e9+NL/uun8fekkj+XNP6Fq6a4C0YplO5pL309/Xg6xX3NbDLiAj
mwGCB7vuc2D60Rf23GV8NbXYCu/hp+JflACr/QXJ0qKF21hb2EJlZ2ccaUFTXIniAtuMtRI2YRrh
LQRv4GD3R9XmXbQxeilFCb8iBncaGqi2vILkkXYAtQNs8hHldb5McrdZS8ImkcHnm9zTUNWAC9Bm
+qRVY+dyRJwcXEexfLOKzrU3Q4ZrfDcEjfE4eQXuU68DaJLtB+XD5/SYZBoV/AAbXxTCqSQ1rBe3
DCAh5FUCliAkxJqmjsj2hCzlWkX5nayCfu3Uevk25WG6NxCpADoZT4aFyFwPP1orOEQ6uE+SfWEU
gnxhmzaeIX0ulN9dg8h5a+lUkP54yHAx5SiXo9sv7Y/JxRlfklddJdbRF3gIBFmm61x3z1nxWFcS
mIKoPnQntLYS5Kg7dP6mUubOSwjuyAekeZyL6TbPum7fuPaHnuR7rbG3XYsCy467rzmGTHM+SdKK
aWpXeF8jpkwlEffrqmVOhev3nJbInCpBTllZQq3rABoG7YCjGDEcEe+dtcdAZCyqGs1yZVsnNUQb
oU+XPiWbRo6n1sY+3EFZ4LUXKzSEnzMLS07jusZORN55aOacgkEB9ZNkU7etfGDMhWGrm+o9qNE7
OADEeos6iMEYFvmVtPboYAXFCK0RtkTiFtoiJjTtAN4HBR9r09bA+PWvw/H74ehxMP314Xj/WhA8
fCfVP5lkzZ/544x0P5EA4aMK8ebZ1B8UOYKyzEKIY//WWvx2RrLU4uwiLc7gRDR/U+RYNCSctaAy
fi3n/L9Vln3Pg/1DWcY+y8QRjdIQzL9rUDb+fpLV2JUqvSpnr1KI6E1FCHGXiWJsdRnR54RLLJRy
0yehpwCT+/Z7ZHmE9aFDTZ8bL5sgdYqs+FLqSejelHWekvGXVtRMdS8TPj21o5UVEk6uJhtPI7Rt
zl909Hiu4Vky0l/kKVHcXdpUK7PVboH7vucCBRB7+Bel9DME12Xejy+9ICjSrYzXzkQkZAIGD8L6
tnVG9jll8WVQ2Reqq00iXH8BCGdv1bgqUBQtKA2xuuRiWaXpl0xnpu5LQuJB2fNNxvl6Evqp8u3P
skoe6G/u8S6sBNzvRZdDWmeVfBtW/VPMumFnJfJUhDbrcpf09Ub/AGR6UhXWFyy4M7DY31aB+aCl
5oq4lw/XnZ5FiqUkRn6UYMMSKr7XNSbg/oxDwqGaQwJJPgu96hZRYB+02lh7hCKyirrr2VovlKtt
pqDcT8pd9QO1rgYLWlKQ6kIxvjc+CIS6zxN18ke/XMJyfsjBR8nQejDDYYvqlKWJewnCYjth+gG9
fgD4sZ8IEi0duEfhCAc3is1jqUkMnubac6dH9EsQInwvXoGy2GKJOTS6v+afsG0cHARtui4FGl2Z
ry2jeMhBAZtJ9jCMRYldUVtnvXFylLOKkcKXrftAXsgTStRb5jxb/PXr3oE8knb46Fk4GhzPqkVO
4DXHkF2fVdugYuEeoplsFp7rPQZYw3LN/ob66QzSDGZoYoeHxJ7eE490l7SMxmVSIeXHeng7kQu9
FoZ2r4nsQvV8n1n2UXV9uZqQcSeM+PKePyVYjqQh4yv8F0jDYwtBBdyCRQ7leuGCRv4oTJdoqxYZ
99WDkPcmgSySwolcAc6tjDAzacVHPQ2hhWzEIcxSw6RkTWCPWtMQ/zpgje8H7Dw1/+sD9lK/FuEH
B+lPOsn5s34crkxgKPJ0lAEEtbDv4z/9GM4Y39cE+GtoimdFwR963vlInhtRSjKTZJPfClB6Xhrk
OUESP7IpUEL+kGr9F+SOxIT9XBJ61jwz+n6Wm/hZ55Lxd2sCf4IqmLaxt43CRqmZ1xnWK270Dg+p
0HUDm0EOz5WaBplKqECCFLN0RSuA7aNlISpviWz30qJxIbBhXAWz7CWs0WNHwJLRw3ihfCIp5eRb
/bs7C2Zg729yFDQY53dY2g4WyhrYozs7zOE9uFeB8qaujXo5qeE5FfIpzs3Ptlt8sHE5+5Cs6LmX
Cl1BiYgncprjmGvYJMWlQeQTtvJtQPTjTliMyARedlPyEip0QTY8kHhWCjWDurCNVIsEEZEm+zcX
UZE9q4uCWWeUTi45lEiP0rS8LxFUILF8iJEmxeW4JJ9y282aJenBDbIl+zfkTOOsa5qK/JLOQieM
Kv+HvTNbbhxJtu0XoQzz8ApwJkWKmqUXmFKpxDzP+PqzkHXyJMVUUVb3vpa1WbdZK8kggECEh/v2
tQE7HfNA2Kvi8A1S8JMvm7sOkRT1u6k/qdjFlXFskFFxHl4WyKoEKVxZk87KQHBVI7wSEWAhyV3m
BiE2goXvIK/mRQ8ZLemceLippB+DUOFDF+/TCM6cLj4Fk9YrwwnG7hpacHCgIb0rPBbyADUBhdhI
h6n/3nexW6wtOpiPqt6G+dblhJzMaO1ZlCwcjh5ZGyPW7gy0fR4iMm9cDwJCcl2Qb0OrcNN9rqpI
uSEVLkR6QJ1AqGCIKclBEJJb39LeWGLvYf/r5nU5uQBb3iAugO2jNpNzg9Is+YU4p8ASx2LsbZsJ
BfxfuPd3uEeM9c+r0XWQvsfxa/XnejSd836tRzI6Js6A5k81EtE7i86v9QhlNu09FCcNVE6qPLnw
/UoWm3/xB86qiKOpThoSZ+VfB2Ljryk80y3Sdhge8g/+zXrE6KeuUmTgJqtaMtkKUm9mGD/8dDUa
aTeqVCvyVsZgAnTH2SqTpNvO7a9P7swnR+FPx+HITfJ78kcVp7+frHqyST0kzyxhmRprQ1+SmQEd
Zez+/wY5i1vVEIKSXLjCslLEay1pvxFCzsB3fTHM9DUfwuPpnv2+lunZnF6Lz6mpbjRQ58rEVqGR
WsfNW9zF8OA9d61Bq/tXl0U+n3tGrYFCJV1KCPI/jifUTUUSXhKwTvPm/gBNGPFR1ajry8NwIDm9
LIZRmE6qSmXCpNx5bhWINahbl4JsLavx4PfvqbhUlE1ELH15mLP9749hzu4eXBwIfmB44KHmTua9
4UF0eYCzHM8fA5xN6SDOQiPh3Vo2LbzedtPQhKkA7+rNWdm+XB7rbFr/MdZ0sSfTWksTY2zj6Z7J
8SyCZsZh3xapE14e5qt7dvb2JH6U00bKMCKWViRA7YJ08uUhzib1+ZUoZ48lJhOSDqrCYxGr/Rjq
W7ML1zHk05nPuQx4B85MVpTfXB710wsDH4hqgsWOU+/H+0ebU2VInCU4J1UbWRN+xILy/fIQ0lRE
OHld/76ykzHOXh8UIKEB8gbmRvjSwIb0TNznUVv7t6lB22KSggZ519IvZuGnM+Nk1LNZOHhWAAyN
KyPT8yy37qYv9DUw0NfLV/fpS3syzNkEVNJc7XJRsjiUPSSALXwPrFD3gwbYL6bgV9dzNgVH9It6
pI80lNV3A04gfrY0lHZx+WqkTx8WVUtqqGQfdDamjxMCenNs9C3mL0bv4zDSUr+x6wg6W1z339s6
amZuo8dUPFRDuwKIld+ksYU3SusiKvckdZMno7SAPEkMlkALrPU4giw4NBFN6VK1LzJPfqBBVdvk
KE1WdSD0LzrO2BmJV7cet+jSp8ZeT6nMq5Eaf6o0V7oIEMKTp9bn3rvVmxqysELMasn+g0j/QqyG
9/zkt7aNgSx4PhRhvLfLGHKhr11rDZLFCDvioYFe30f3sebtg5rkq4dYUUnNfNEII2jlFh1MrHoU
eVzM4YvmoPqEliMnSAQx2W2t030PcGXWD/hqCIh6XixhInyoiX9UW5NW1h4dr3El0mMENsR4M/1m
R7lkMWiqQX4i1sN9F/OPldGslgN3dd90g/DdU6DlwN2lwZZ0rID8jwaJvDaHhaUX1nul4iDiy525
KuDk4JFQCVeQJCwar9pJv7Gp3ei1kiYTuySvFzlYBA7EPDZr1EHuavFj7eorcloOcoZ9lKZ7KdPv
aYfEuaeda6P5LI3NdkCiOUtw7plF2ER5Svd3Kv4/pf0Usf1ziGq/Rp/ViKcP/Y5PJ02dKEkqocV5
jRilD2EHr6IpiucFG7RuuknNhkjotEZMMlJSdDqGWJUmOdy/Oy9bZwsc7YGEPhx7qRkhjtDPgy3k
on4oFSP9a7TJLdUyD6N5i2MIRr5GgfMR5GicSPX0eertEOap3mXWJi1g7Eu98AStwRnVZl0DboPG
ZuC6BIxck9q1KiFElnPOn5jbrhT4aXpYPyLQh30G9k1KwhVgr4PSSi8CrDIHKS1KXnmhBT2dv2lH
313ue7PGqgOn98a3ovRhAA3DqqqxfaviIXIUq7jin+/lrnoWfXwZc615IAg/apW/EIPgO4sF+JVi
Q9ffUm9xpArj8VCL3Tpwy02glC9N412nACnlSN/pijYfQ0oJyAyva4J0smSPMcCUuIHOlIy4ysdB
+qBH7j4ovU2mp6tGqx+h0/aOmonQ+LL+aOKtsYEds/X0CNF3zdKEOh0bHy/3Zn2JV1uexo3NfUnt
GtSPbdRyASwy1u0gBYePbjDqNJoiEQ3X5YsSxHV5JVXvAl4u2Pt1cXtL5KzdN5JLz8DPmfvfK0wD
7YVX+D7FtPPPI+b0od+vMK+aKKLZ4GTyoZzA4ZOzpUQjMQssrth86Hc5ARWSJPGayvwDYzp8/jph
UnKlPsoJkwYbicPAvzlgKsYUgpzEXz/fYL6GZhld5T/a2ZbeQLOxomyIV4NopLNOpNelLK7UMX7F
E+gtmpCgYYGEPEQx1KYuLmgamew4KDdakH4rMXIMfGtTDrrT5tkuxJ5H03v6cDWk4NQyY3Tlk89Y
h9dP0NlsYysvPFbKXW5gP5HEKzPN73wvXrqSuR2qxhHFwe6ROOldP+/lcYHh8EKuTNxYRWqN9VZE
VC4g0sjWsAFnpHFnlQmnLt1qQrMR/fgurwWqeqG8SVTr0JEQjxoAyQX9I5pwpQIBwafOaVp8qcVq
7mM4WEhz36ip/JVOjbSvKSwdp/p7sUTyH0yuacjom1paaSbmhP7Sc407wcXBVcLQNvueu8eG8l3g
xttYQqZPOpwUH00V2CnqD0bnb2FfU3MUbK0G694lUJrKWyEvFhz3bXGQ6Xeu1h1Rry9LNmLamVsY
3GQWuVzdpliodc03gLLoKB+Tuln0Yi/b9K1PEhOcnDo79oMHCXPQarQOGauf3rozfEhCcnyAIXEC
RklTrKKq25vwZWoFT2BfqBYcMaWFEbbDDBfqWZXEoH40mgKxqMBGVXarySnDFsNvUwVXHZ5pGbT9
IVrGkLqycLLuk2fk4JdeSgTX7gEfgaCk97EVt73wArYXR7rRkTvMNNQUrDX/C0tv7IRwurgVYtc9
WBMnd3Wc4W5dRNiSBpQt9m+jGIm/38yliJaQEagrthLoMDPhaHnhnHtwE/ZIiRQxNJ/iMBvRNhtm
soeTp85BhUXy3Giyh2ZyBzOyIJqjFqRJw4uxC4qhfcoG2iK/qEk8iu8wPGZNSOWCwlY+Jxc0V0b3
Bga47fb5PPP7FQXhl1gb3upOkWxomBk65JIIE11pQFnLHZqV75ZrpdevckwlXF90aE4LbEGhHuXd
hTjkyOiK/Q5UbLKVMVTS+/BKKgW84egDq/P3tAfhB0UXBJAdWfdxHc3Gvjh0XbWQAFcI5EiZOtgj
1NR1xqcijRdpp2I0IjpTRKZm4Yz2b16z+CbDxM8V6qu6oUAiBhtYHwcC7VVXZYcMyyq6dR6VCKep
1Fxr/RW2s/M48XYd82QgFE0sCuNVsgSN9wzBeSFA7xWhBHXKHlniyi1vCBDno3JdlExLGBgm5NOq
gMcC0zkBiZq/GVjXolaADaMszfp+8F7ErnjXxOwuLxq7KIAHoKMVLGGmNvLBqMMn8v12TZcZ2iqQ
W1TWFejEagOfskkcGX22i821Ens7TZwsUfyXEiEaLijkT0dbEJWZId/K3b3fIqm2rn0q9RVM2ME7
jka207AdrzQ8thQMNI+AyrCIA6/bl+ncr+5j/K71tIPACwYZmGz7VnLUoFFhixsmc7eBpiodIuWb
CWA3rctFl2Mfks0tVsC22iR54eAGtlTkZqahv0pZDCd7rT7A5Aj9N1h+IxAXZjvcQe5w3GEFT+SA
TG7uCnToDj9KLUbHn17lIEdhR9pGb+015JtB1SwAwLwChXYCQEkBJbNGE0lGF7PeC+xU+1Z5Fa6i
a6jp94r+2FXlAbjWiuaEh/+29Z/JY/3itr55//HjHQbFJ1v79MFfW7vyF1JMCcyGaiCe+1DNUv+a
JJgIiwAFKdO+f7q364iMiQhAASjwAPjT/+7tROciIir0yQTpBlCQfyU1/jM4p9SJ+hJuBxlphEwf
T+tWKxtSlqrVKqcRDk2AOwlRUBI16Re5ybPsAzHENJAmqxxVdaB3Z0LRhAYLMBRatUp8CiAw+rBW
W5bYUJ1EVtd/ByWngi3qhH8EKx8HOktIRYg1BcFXqhVaIMmGt9gSDNM7Eoms7lGfI6qucuOAsTYO
kkX2ALanWkW4s7GhpSwzehXM4FjfKUMnYThaWlDLCxPbg+xhyk549Ifa+FMAE+/KgcJa9liGMLFJ
1yg+Fq1KvBRolm1oFnZU3YPZrPXEQuMw56u+STXteH3bY/0iPXsoBNa1lLwHVgjzNQdIW3gaill5
b+pDZGMJSNDOV6gYvSLQoMuyrd+ARC693lv2fUh2gv5UV3qDE1zbepnTGKcsSiP6Vtba/WCSbM7B
rcwsnJFtuU42DaJSp0NfZZNCI7IwFboPwa7YnVZQAwtccd4LpBJQM1wr+rAOBbGe0xu8ySUI3ILY
0LzTPfcu3RlVggTCyDJK60io0hBzshpyujmEMFH8BI5UswrHZtaQnTNyWnN64lsbX+dkoUUijmlj
ccDe44aC/w7BMp01kZrvOT6haXcp2/u9jgMY3oSL1LIGoGNB7tSjUl11HVTRQleHeSKnwt1oXmVu
THGtrYQHooVkbrmYyZDRKedkm7JF2fuwC4bYxnARVsygeXjfGmY6s/wyqB007UNWYJEkQDZtjOat
1L1NIQd3atG+WS47tIvF2kzIqH6qqYYVj+JZ65IOoc5QHXhlc8IL6HTtPCknf25RO3Yt154UNLVS
jkm9ZZz0EdwaT9FyR5drFzaUJxo3ripq7lYXaA+KcCRRrRUr/6CIx2l5Z9t1RjwuobHQpeovg75+
r4p6McTErBLSteS28mlW7WBHG/JcbpNdq0q2kryMLhTJkrDUpcNaIc5Lk3miBrMRoKsA2TGGfoNR
nZZY96CzliNF67AyZqVrHN2ONmh4YsXkHeM1dgKLMlPLKyOH14hf0Zjps2gYaEsCliPi2tT9UGkP
0Jq7wZDwzClA3MRzFL8zFLxrEnx2RRUWby6eZ9fjKxh/H2HSeunG89/0iOkuryUd3XOY0leszQmb
bU4WQLAxxA1AlA8/piqAJGCIFnlzfDZndes5sYHCerjTiK9iFpIuGx1NL+wsPJZVPS+ipyg0ZjWU
1Crhe7LKEcsbfCqBxF7n7U061VYjSGuI0JUXnbZlPXjM44j0Hdwy8ZumPgT+AdMBpw8TvEh6RE+5
IxrYLA0erjREBkppt524Ije8QDB6L0nQ2D3lIE1exvikCz0s7ky+kXyP11teQSnZ5XmBDkZYqqOy
70lp4Imx7Ip6LkNPDYvwqu+y1gE3zbGirvippvk+NDhmZuYKC7+3Ua5mlxfKn2mXj4e6j+vkdOg7
KXxQlUSlmevVipXsNVjVj9fz8kZz/GP836n/b6WLwmZ5IXFXZt3n0B8+9is4YC83qChTWaaqOila
fpeWf/Yh0VhDWywNs2ynvwrL+l9T65FicSahqEgf7f+FBjL67EmFzYMFEahRW/5X5/4/CkoEIEQY
KpELykT9vGrpGV4RWYlUT2h8WceYoVBmfSVl4dWQ5eZ3Sw3bvdZkgDF9ieNLEasbGvPeSSMspV7S
UXyQRGNGSXSq426TuTuF1nG8GloVuy29momCdSPkwfWYioaNi8Sr0kkC/stjFFcwCbxeXPstqz10
MaV5xeSzwsGixoIMr+COAgDtpGX9pGDrPA+kCkIFjeMz2LlqfpdqVrSRpLKUb3I9FLrtz0f5XybL
ZKL985y+bjBUSP5MZU2f+jWlpb+mtgGmjKH8Cmp/qyVEAr/fPJiTSQ2RTgHDgvhPNhFwyczF37ks
ha40lViY//nZkPdv1Fs/dQof1r2pA4Fq5fTWobaVp4j4ZN2LSinCIhe9BBZf7YCDQKSOV+IIggGE
4veyQTw0UhOR2ezpzcYQMimUbMZmf2hqy6C9udSgKSrlbqyk/o32Wx+hlDreeviz34USBg5IUUGB
H00xyQ64LeDEGmbZfZDgrC5BmHF0XBEQbJP9VVYSZsZ2FJmTjtP1f5Q0VM39VAdODfr5poqIzEOp
De5inWZrmsG118wFxCqkkS31/lFWwn6dM81vlLjB+q+zir0SI1/SEQ5VTmShsbPzToaxga6dvIqu
Ee1WbhkBhu69XShj1BNF4q4J8Zmlx9BFGh+DlcO50MZyO54VQX4Uq6nHGBs7ZLdYyIWTa05FEj9g
U0WycRBwAXO8KLnBcXKTU1jSlXgLofJhaHXHqmE1DR3M8iy/J1uwiXnITm+625w+k2WuFk4WxPvR
KxZAdRwIFdchzWGx4gmP5C902dFxaAEkkebmQ4ki9ihpQn5Thji3zpoCdFRRC7eFJIwOafSIIM14
1xOKW6BbVUwj6YyAkpK5rUSeixTWfwvB3zJO3ot/Xgj2r1X12vy5EBh86mQhkHndyVv/X7PQ6UIg
ip8B7Tjdoi0ioc1f6X+15A8HX2SXikLHIe2LEli7f7O7qeJ0tP2wELBEiSA1LaSkJLWls6NvrYZW
6sktOatGaDTqtNkQyoc4HOU3mLfes0ueFvePidDfT1H8KHcOR0SZgBvPFB+mpOgje9D6VaipVx6n
AlGR6Pvp3ygBXwVutZU08W0QcQ+hpcekXbE2pWc9s5zKyG7quF3IfrOMOn/tV+1Rl7K7vs8ObRSR
b0uv46y6gcq7Uq3sekx4o8WUjGosV1eyZy4EYC51lFPBzsKHzi13qS8gYnKhwvMWCvJOhMwOeae4
961yo9Q+R9BK4lQVaJvRNxF5+w+eX24bHdSm2nrzToKyMoYHXLpusQTzocA0+0LSCfQLTIFUWdtq
2niMfYkuyDTw7AEzgGEA3QsbAI+IKpkXbdg6SYupnG9sBgnmjBG5Gnzf4s3A7GxBV7E/M5p417jY
PIdSRO5Ss36UlnoAHpwvlSw45OYA4Ju77MgphBrX0AwnzyUKUwZ3QMD2KM/0hzrrHmkEG2zXq2u7
ci1gcXRnLXzPTdewenBRx7YUTD9mJVSxOO/11P+lNlfJSec0BBmJNsEkqg2uS/tRFKHtGIkVPKoo
yWcFpBIZ7IOv3vRNsBUGeiSl0Np2fSWDxNfdtaHV1awUMdKLmyG/1wM40J5mfB/1jpQtHHK34BuT
hJ2iis2V6nPwowR7dJviCfXWzg10g/KBUM1xC/Hm4Ky2ANJ9riR5k3Pp0QsNTHsziO80l3HKoqwR
IV6fTA0lu8vrJ3GsOOC14jJA1u5GuEagaHXUuH7KvOw6wjHHxnA8huJT3HqZkPHNJlUUSItJiDGb
q4DeLrl6S99Jvf6QViLWplW08YvxNlSAhWZiQE9WgElhnVWe03bm6OgdtcMRN78pzygvxlFdFhpG
RkkUzxOI/XYfpMpaMvqU3g0PxrWJcWds4HSjV7cilPJZWPkHHeK73ee4XYhgG7DeeDbgMerkxJdN
iDikz93vhsmhMI0jY+Zr1WuWkV5OzaLBTj3QFqYXQ9IPKQDg7jVjT74O9XET1NEx7zLcJkqKobnl
LYHhw/5GxcuDx3uFdoZ1aAX4UZprOhXutM4N5lYc7WBVvfJCr5WxXRtYLGa5elQEd6GX0U3ZDJu4
Mzynl/JxJ/nyc+1hb6PFD+Tvr/uC+klUdg84zee4Q/pYWnWYgIau7FKlwJqEffep04bXQknXgl/s
vTa8C8vkYGIXLfXJUpTDlduNGEY393JrPtU5bNmi03apYa6ynjw5KbN4lozGDaYUG3xo8azjirxM
27d6clPmxrrxiMBr170f/ETAizOC/1I/JzEmSGKr7erRX2WTER1JkchL115OQ5sfuvxyVV4LIe4A
SnTIScUrSvgQtP4Mfsf70HaP2MCsy66syPvQWQMK5bqW01Xb1Y8UZrhd2RxwPoS7Nnq26B/pBZXF
ohexCdXzjYC7Yl6BLK/SpyFrF4BpNnJt7evYfYmV/Fo3G/yM23VZxhi4CBEm8awsYlFvlLzI58PQ
HhoS1qGugc/D0zMfWM3i99yNZ8SJLwpRVehnVxJGZlpAFyNZ8FqN5lGv/MgacVMrsE/a4UksAKIJ
WPrE4czShaVudMtB1PELq2B9JDj64OAimCxciGjtRFGvAhxFOPBfCxaVF8p42GtdZWEH/sTFnXVK
6UCf0BQcY0oju+pd1mG3vVUxCbNdBR8soT4Yo3czwgcUlPpVNDGNraTunZmuOnEnLgpfuFW8/Ka3
9GYhaOp1kggzSasWkGPepcFcRD07RN/s/XzANbDN5oqmgMvCmirJdkLWrjS9fujFfAXD61hp4wNU
eQToYX8teu09pde73O3nwHfWAR7Snjjs6gJclh4eMivaNmQp7JjAUJ//Fwn9jIQUjin/HAnZ5ev3
H9mncF8+9ysWmshXwLgteAt/n4p+n/Plv1SS+CbJIm2CW/1Z4Of/g22lUmsllf37UETqnwCJr1Q0
lOf/qsKvfoJxEHll6HJG9iMrUDY/Hoq8TiqlJsrCFUeRRzBEkJPK/Ei1voFj45krETbSqukVKqpa
0lMDV3RpLmhaj/FrFC9pn6sXGvxsKpeNwsaMCcqdUUOPhecd/yA/QOMqym5MbovqxqREi/3NVg0e
jfLFU6oXZvUaW4TYVjIX2q/ixL5wk4VIBUeXKunRo2Muqkyn18b9SJkdkgkQvQnQhPqnLOAeUEPu
K4VdnH0nuY/7FzK0W5dic9bWa7Hd9yIOV+Ut6QVwV9JsiqU0+IIe1WpQTPQNPgeabo8hbxx0XXxo
TJyH87yyB1mdIwAlgy+zf1H2L9i7pMoY52ULMKHvzIVITnN6Yb0sX+WYCFEpjdgZfPkQgNlMqbcj
jjr0sMs1RbgXlNbuxHSeUp+v3Vq2Uyr2SfMYUr9XhVeMuRA1qdswlieeIrw/fxZMVf8IH3JUACZe
HBaqgDCmRCvlt6ZLZtvDutdg8W8UbGSEjVQ/ZC4/BI1BFZN5b7sFTXHbZuzpRD/q6pvuN7aLPgGa
1d6K5K1qbhJfXKEIesIfZim2SCDbgi2Je9JzE/BFcqSqWnuZSBljg5pynrT+3DM59gkNCVrramjC
WUXDDfa+y0Y3DqTuN3FmAmw0gjsd3UXmbkpUGCZqjARSZ5utMaMmclz3KDbckGeAgoNa2ELqhoWB
smNA4SGh9BgoCSS+sSVgXxooQTIjxCDP2prFnR8eY/QhAOLtQddtdJ2OTJdqX4VrGv4c8BIzBR9v
YyQ7rmjorq2NAmtLR5WSYx9iNCotTRAOnWxSybfypP9CzOIJ1g9avh+NkRUetUsVx7f6cKvL2N6b
Fp6JpKwVMrXGjcdmSiBoN8bC7LArp4W8wHE12nrdS1E8m5GFiFKwRYhhjXlVqHTh0r2dRy8+DOhB
pRydhisluFYS/COYeTl7epoyo6JZqt+NQw5QkoSA/BRlm8YimJf3qTvMaJlnTnl2LjzU1a7H9zmg
HfM6xcwhjwJULE8pLeddtxfpu3LVrVLc1+WPqPg2RbppcO9zivfDfVgcctSixibGY9p0nzESctz2
uhZrLCX6WS38GLttjpeSMMwVwHRUZKYhmuopBpYa9VQO5PRoEdEnJQ+Uc4D8VlhrVHfs5OWs6NNN
GPUAJ0NUCN1aTdByjNFOqi34mYu+fk4j3556ofw8Ieu3HtRdFhQzIaDS1eczugx4FcDE6FgANeu4
F67hO+KwDPINFtEhqYPrqM6XWYNpHrcKj6TGLidEHJg5HM6hxgV6dl0Fyd7LHyjs26LyLQc0WydA
TsRdZz26wnOtCWvOKMcJINqIUx3GzrLvVIM2WuPPookYq9bb0vgRBtdChUsmXJkiluYann0VFXul
2nr9s0Bn2dhbkNJ85HzzPk23TfvgixIQlJJlrF/3oO6MjkgerkIK/i4Hg2dWRrHlbU0xKO1k4d7w
KsfvYsgK9UuoyfNcy25GMzxqEM6Ro7yPIli9zucp4f1mx6WJNj3x5rqxkOkOG1osuFCC3mqSsEDy
waEGVF/fdP0yEIcZrsArgQi5C7p1DtUvUcalK/Q7KRB4kCoVMjDZh8x4shA6ZhMPsIXCFxi5k7iC
4yXjqsbfp4UzawfRcNTTpz7RbUt5VMGij33+kGZEtAKiDI+aSmQcaVC3Daa7UhqHIFO/y+AILaPu
HDHHsk8J8EOLykevLb4XtCeObb7GbhHNlL+oiwGHr/SqV721Epf/FST+LkhoZE3/OVJZvZfpa/o9
+zNrM33uJFLROIOShAVARtsb+ZffWRsoU6pE/vYn4WUqVvyqSZh/wSojnwMeZlIiTjyCX5GK+TMf
jMThby4Mn/oX6dtPem/5GhEvFF0lXvqj283V/GZqs8ff1G4czX75Fs/Yg+a9vZbs6KVflY/J0lxX
9pLe+0O9kgU7ur/Z3avb5BZLLy9y8vfYWfm2aSNZ2n6Xl7xGTnhVrE7u7CcyhPMuiKkrj99JHzPY
LjqE5bOASu+CdsQoyl+1ybQnAVDxSjtv96EKSQmkoEUpxXoQxrvL405KzA85rbNheXqnyW251wop
lRk2pFw9BJmTp9dJdgVLZA7ScI7BlG79XQr5R/uXKV9+aUjl45C+nrb4wzNkLlh3Qq/hJoI6DFq5
1FdfdOQwiy4ORYB9enV9VNVjTTJr5eXXDUKqHEe0rLwKxS3uTxpg8Ms3c/q6P66MGpsCu0gEA3Q2
HKSagVrB5D6sY0IXZrOhXEv5t8uDfPrETgaZbu9JOaLgPI2IsfBXjZvAudg0uGeoHohSBPKaZzfS
D7muvxDJTDCmP64MEC+qYlpWRcqFHwcFJWj2MEIYFCdZQ24d0nKboo1gPJhvlpo90bS985Vx2wTK
QSwtoqfyaupkBptcPEV5tYwq4+ryjZjqzed3++Q3aWdvDFyyHmUwd1u1YFTDCRPqf9fq9/OdPB3h
7OWwOqHq+7z0V2mjHAtzcvr0dmWcfzFLP3uip8OcvRC90qmkgri542R+mrwGxR4PJkQxL2Bj0Bf1
kIWL/4epejrmeTG/72pVQPWxstqKdKeQgAkojqPQfjHOFxNnImCeztZaCf1KMxinLSUAej0CKXlj
BP1cFMzN5fnwE6NwaUKc5ef1qFSIg6exgF613kM/3kTDQpW+aQXy72yRms9+0dopkaIW5rPLo3+2
1NC1QscK4SUV9bML9ZrAqJSKh+jrxPToUhJjMmR7Ir8987IXhBPzywP+UY1g5T4d8GwdUCutz+Oc
AftcwSRudMLgRh3LvQB1XSubL57j9PP/uLcnl3d2b63ElMRCyPyVkYMtG54V+J45odrla/pTY3J2
UdNdPlncetcyCjpQ/VWBXhymPbH8FbG3LjwXdTfDA6vy30p0QHnxfnnkr67vbIELjSCPRivH3bXM
wBxb82Jkzxf/t/r3j3vfP1wgOZOfhWnxZxhwcoGCTkoaZjBz1PQOVpRiVKAuKllF21zsgzB9NOmW
912FIoO0S4RucfkyJ2LUJ8/x9/jyxxtMtp+tfVrSBEFWbKtujo2HVavaOyZ6+E5uIUMCwEBDgYnu
ogVnZCT4B9R9t4F2Q5Kd/GWhF/smb+eWIO2iuDh2KPZ8CcBsLM4rIG2Xf/KnKwhMlV937GylahPZ
H6yWOyZE4kJtYTtZ+G/CXAd49tU294cUdJp+cH6BodJXY0y8+dPpR6bI9C2PWeBlNd5RNKtTq9ey
tVL0s4qOhrSfR8XtQMP35Wv8dCs7Gffs7co9nN1AtnCN5FhoJ3UktOyXh/h0gp8McfZmNS4FNs58
TLy+fvI42fnGeEtHxOvlYaRPJ9jJOGcvkhm6kphh/7CSJWCf7q2KnzL1pMF/b1pwnlta9pyBrFhN
Ig7iMPkm/aun+MVPOH/HoBrIad6yiGRZfa1MXvOqUid2q413faQdxay+0uN+Zek+KaKummETgwmh
MovM5Iu5++mm8Ptm/FwNTt72AmlDpJT8Ep0SlIc/eYCiHzutWWrdmfpDM7xdvvuf7gkTM0KyaLVB
rvJx/mrwrSiXBazS9bIFeDj4EVnUPQ3PGumdy2N9emJBTfZ/g50/aRCRRRmFPGl6lo0cCW35qI3z
nlqiZJSzwcUURHjs0EFeHvjyRaJq/3iRPsAbscxiHq+S2oq+7o0fjYxfifeOq/MXc+nzsci2T4Z5
FjX/j2MlZSLDnPL8VdKy6Yzq2k/aGbT7zHswS/mLVeCT2YK8aOLFcIDgv6dX+GS20J5SxWNseSsr
S1ZSQLUbmyAzjpaRNFwRSb1nQny8fC8/e10/jHm+8jRFi86eMcsQcYAYAbnMzY3VJI+50u1I0Owa
umb62N1yKMAJWLAT/CrcIv5iY/okBjZQO8iYeVD8VDHm+HDtQSP31DQMb9WBVJE5dpsBEti1Gt9P
+VWyWjjFfHG7P1kRPwx5dukcTjShUE1vJSFgx5jM9lv4ScMXwf1Xo5y9JUjRFaMquTAPbX4+ZVNd
mtXa1eXnKH+yg3AxJi8+7Z2GfP5SdLrQ10nCxahLc9nv+jtlNa6s+XCtroOlNjdv+7nm5BuR3KT9
nSz6jhS0bXyxJHyyVRscEhGbUrYCb3/2tlAcS9ws0VDKCW0BDCw/JJGyb7JccKwRNu3la/70zp6M
Jn+cMmbswzQNGM0zOlLrlS1Lm9i7vTzIp/f1ZJBprzl5J3ujCA2jZBChM2ZVNmLZ4n5x1766junv
J0NoejNESq/z6KqdHH0XZclpzYfLl/GT33kWv394NGfvl1T7OTHNz0G+ue5NRTXKpUBwHBFrTK2K
Zf/aGYtQ/zE2z0Zy5SFKbKvS0XA3N4rvnpd98fA+O6x9+EFn74Wm1UrE0dBbDbLxMNIF0COecoPs
Os+p5GDEJijhJvRY1IfeMUJ6EXOrfL58Vz5ddKZqqYF+TP4jX1ONoovzneytsAJlB3sRvH2MBZ8l
k/tfDm60S73hi+tWP3naoJZgsxEWoFmzzladIRIGuiUGb4Vvr7IqnHAWOMvHJLDt3ZqukuXNMrWX
63VyRA/ktDaFjZfeftdngrPkL4+BM9842jWmWMIsv8qd23B++Z58MuE//L6zEIJ1xK8zoCcrEoPY
0IgzzTtcHuHyHcCD9uN8dw10H1E1equCvuU8IJgvvgNd/uJGI437ZPM+uRRLPFsgWrMo0hSftiU9
IF30aDXK/7B3Xj2OI1mb/iuLvWeD3gC7eyFSXkrvb4isrEx67/nr92H1VKdKrU5td18tMMD3DTCo
qTqKYMSJiHNeg8FhVIObGpsCeBysE5pl4ZMZDfDQ60llHjwYdSQ5uzAwPJrXQr5RG1qTCFY1k0a9
OqnVuzHI0HZSsG97tOxp0buzuuOUaielewxInRTp+1EY7gBH33iVDiEEcfwG58RqUsuXMH8JXIt7
voHutVvZreqjVTUUT/Wkta/p6PnIdV5PSFrUJiLZLsJXFXX+apLpVyfB/h7l/ggF/xYlf2QNt3hx
7AcU/gtdvFEaJP+7rn1XRfcpCP3NKJm3Ft4AmehdtHLpO+MgIecS0DzERyCnD4199DXcpoUphFF4
OSpyeY1foSs+uaNCM7KtFDiv3iKyspexcRHGQV3bUMP1YH3zpYXvakvR6+K5V6Qv7lBks6B7i7In
U33W26tIQW0XPtFFTAkWS74Rj+sCpsyFod4J8oXQ3SmKtKtbGr1Y/LoGnWd4rAp9r75Bo1d+yINo
EVvxQgFgJM1rxcnj+WRoT2aykn0XQMoD7uYHjV3T4Cw1zGZlGbrcC2AjGlI3HtaxRT9LULIthE1P
f5hSc6yNswEHzQp2tNDPY7V2EqoZRUuLfaDCgChuqCxTBAYy666vHwyB6r/IJVPqUd/xaKYbttXc
Mt2heqPRZFfmFX7BYOA05U2F+RQojyWt3iBFYACQo7YvPbYzYsepu/eTVVtfGdVtBCrRvVDKZTAs
muF7w15A3xOCHKXcFh2ilwRQQ7zNy3Ze19sofFGilVouZeU9G5a9sOvV59FzqnGhWk5V71JpTxtY
y5E1QYj3SgyvSuuybDZqCzNLxEXZfPCNRRo+auo614Fnbsr4Ay7iTKrimVFNaAKnLV985NmrC4R2
BamZjdZFmHP7XanyTm/YqncaRlz5s6sACl/qwnsYyLxqKrJza/P/M9Ny6iC22/a98h0/uhz1HJXd
EEvitxytT/8WWXp4diJ8f7wmKieH4u4t2+rSjZxQfRC8VypsM7m4aN2VVT5M4DH5VjHe0jCB1rgq
PSBYfPnwsRq2g6jMzHbhlfyiRRAiKvyGmnvTN4vOuiqCcmZ1K+SNQHPS66UGaHRzqXwJi492AFIB
NEtsIGYBqOqWnQxYof+QtWqjqI+oTZXpXqZvKiFoVIg7SdiN401h0IsWLoxkKxgbpKBAhHxI2biq
fBSis1WR7EqkYWQxnGcQ8ege89CkBa74QOOFVxVFByV+xYw+atfRgAnZkg+bBnvgjAGix8KV7IP1
B0w5yWODaO+wOdRkOGrDrI2uaunZDa40GbdI6b6Ordkg7UrLlgV1JdarEbesvHVG9bGPfGo5yA5Q
zmkuImkpmd+C7lnSd1679ZU7v03IdZjFyYGd9dsMIpyVLo3Mt40eLVK0HwRY53Tja/2RLrunFHYz
+lAU3sFaoLuA1wmohMltxWQL5t7W1Vw7jCHN8ayVkKEyblPYoACFsczEhki8TqQLs7gUqZpMIEyd
raK9G00ITgOgKDIzeQjTr5tbkC09ZVj61o2W7cbklX8GziVizWiwcjW3xK2FMZfSAEl8ckNtNtQM
+b7nW6rc/gp5WkDrEoCkeltmfEH5KiJZqf4DMDa4fMuBHR4pKUYwb7w3AIBch3nFvp/5ugUq0onA
KMQutm0T+nDR9RelxNppnst+3vS7wLgcObBqSZibhkO/WZQcSUDBP7RFHYRjaoPe7cKbrLmSx0mY
5KIt7xV8ZXAaMAwgJppjjsmmk1b4lto5zg1i8uBFV3CA8fvSjMdGfA26jyhYig2UQenBJb15EUa+
j11+26Tv3nDTa2xfECnGrGk3XoypQPoAIlXBJzfrZNQTtrq8Tru9P8zor2n6XalDnE2aec3aE/Ub
PXmVsCE3MYczFoqOEMPwlocvdVNuQXnNGp4nNQdZx/oLMY/N50WxqdEeHEZHRUFC0xYhiJWhfCZh
1YA/3UUT3QZZDPIDAzU8yG9LLO+0bC4kaO4tY/UVgFIfXkNFCfrbMr2rMT0UUDdrylcEzk3K1Ao8
ZzwU2ist38aWRekAxzb2bGKAmeEQHNrGCUbNyaKLVlz31haDK7V9CFHZxXlC93c1WiHRgG+nh2Ab
h3f7FILVCq0nHcfT4a7oqETs+ghnu5U4vhjSfSXahjIfhJWlvI/ZTSg+5Oa9po5oMD9ZjF6Qr5kH
vV4TpspZcNk2qy+nkpX33eSX5dV1g+17gpV9iOD8a8cZFZUz11xMF/jme6puKgXY6ze5+vDxlQ0r
nLbWvrzkHAyQzaDeW2GY/gESzLEiRxYWeOhBZRlnCGGnymLCUvnJxqj4JtTIIlax7dW2NuSOKIPZ
Xkwc8XgDr6XJGPllD/hetK5UGC/61qre8ZHlSj/XtWUg3Wkq3iAftWt3xkqOnuN45ddIrKxVsbDH
+LHHH881bs3YpAt7oQZwty/T4M5qto0Ggue2jaAv20k9o5PH4yf9BuaMgo6uzTHIQBMqeBvemoqM
tJSbhQ8EOVn7GTB+pw+XoEXkwYmHbZ8vSmEd+BdKux/GdYULPDArb9Gjz9htzPClVS5xgO+C+6F2
4hR6DjvKKYq5Jy87EdS2rYrzqLZR/3dtmp6xAZlgYflPXnFd+Nsch13XwcJVU1NHrBxN2PnlDuyP
0Dwo9a4dqOe/AIrq1UcDKFTaOollOn2ywgm3RLulVr7rRrP2O+pWfWcrxbU7rMfs3kOtubjLJacp
ca3FKHfQ7ljnSvkuTbspYKVoWy+61703o76IyQn8C379Mqi2Oqy15NV6l0vIWHMqOEFzFQbsNh4X
OkYtbQUai3+jeMMPuB8cD9X5EoTZUn8stYUkXprIDSX+HAmPzqATGA3zJr7UvL3VbyrB6b6rsY3l
CjbJmuVgPx6os9LFitLfVzggur3kiEkIigAkjvdUypd9dBdW+rKtX4cJgZ5eisW+oZrfuYuBy0Zn
PYcebljNfVRillVcC8I69J1Enkc4JovbyF1q0UbMudw8s2LHnhv1o5mjJDC30BwZUTEw3zSwhKrJ
022rinv9PRdxlxG4Zvubqr5X6q3pX2QSmgfpQ2C280LYa5mjq3P0AWZAv8uU1Trn4jCJuwk3jTVP
NDvRbSG6jMTLtpWZ8AzsEKtmfA6r7WANkNJjqOTYig7zKt5J1U2W2GJ0ownusuyTRae+NPJ93V5X
1AW6FQdxVT601soKBltOFllj47jNSg+iDaQvBB9QAppVeGOLs8Zaq9Y1VHHNuogHCAmJbahLQbpB
GmcI56l5m0u2iQCGdRe7NvcuMxbtxowXYr9tMsGxKH0CMLX6ZcihllTfem1nyf3MN781nCngyHPv
VtEXpXLbtjtTQf9degPjzRFiI30Tt+vqtZfmQ7kYgHyrtg+nHwCotLAkx2+fY/XGLJZI7zQcQdE6
DpG/moXawjNnXWq7+mwo7hT2S3Lvet9rAmgvZrjqhnHW7C13nrn4K6+V75MAVueU+EmAiRk2lkSO
uW0x874er0s8Nr2bJFmAEvUeEBEa/GtJhLxnGw9yPB+bS6Bd9S2YV9w9Av5lQbBT2YkgF/pXccLa
TB1PXPjDnFqeFGPPNpOreabPEcPQw6Ue7egFg7PXhwshWkr8dnGhAc5oLrpqnY8rsXHYJFxb1Fmf
zHCwyCtb+8DptcKNbJxRJIylJbUsOD+6gsIYXKYtTMl+pCq8DkK081elfJfE+xDIm8VG+l6L80Gf
aRzT0VpObTO6GJ5qc6cmi0K7dJsnqZobijN4e020pYZZvC4bJzbJveG8NR1st/Eqn5A45cKIH6FV
4WY242hloMK48SRkw65cdZXVGx1XRUxece+Rr1ExLK3bFvCmVr3g1FqniyJcu/GjhGP86F2U6FgU
HMjzJHGKDNWAmQnJIHPwACgLLBudWnxqtJZ38lwuVun4vVXnwJxlaY0pENC5Ch2tdtlnr6HGYn0N
sX7T9qOwMMxd3m9crIOH4RvDoYcnN2sjvFNRZUqXg3+LGXr2QVY1gP4p22K4VKN9Z95b/T12Flaw
SS2cmx5xecnAQ5trcWJergp375V3hfmq5XMNICoF0wL6lWdbha2W6w7fNRWXqBc3fAv8vdLRQeQo
vrWYwDb0l6Y+AFLhuFK/V+RBpe5xttsM0UWeDgtPxfc7klDiAIkZYz9Q78JhyeGX6oswjWGy1E7l
dXPVfIvRIsEDWOuWBVwYUbj00RADPl0YCCCigzKai7HpbLNejFhPdRtd3bjprpCdoFhYb8NwYxWX
LQUU47oeVrG4sgogAfKiSsu50MB5+mj1BSQLnecU0itJ8dyOwD2vIWNY6m3EFciQ7xTcFfQXKXng
zDDMy7K8CMelprASRtrx35PQKblGQJWdafm7r12Hxl2rvfjqciydEY5FdT2ki7J8GI2Lutvp49bQ
s1lnXo7ZFeAENkuS2TWk4REBJgwVeIB66ivyJnam7IaCE4KHspMO96G4DoTRyTo7K+7GgAb2uo2v
MukDsVcpWZb1laeNyz4FkZ4g8uZftrzWonJ0IojEQjdXkhHNmBg6/SOirDCQtfK2kB+78C3qV141
z2l/RqsOt3iM1DE/qebdiBvjQtDvw+EZ7RieVy48XydK11l0GXOvEnLe305YPtbac1XMx7TmRL7w
h2sfcLnkfpjRXaFtOjwcevguj3jLRNz69GjTkB2yAuZf6pjCLmpXSbwus53Zv6CqXJXLNrsdgXaQ
rfU1WidetGUmyuJ2BHIeBvS7xNs0/hYK88paIFkCzVGVSDwiYOHg3RPm/URPXlVvbb/1vFXYLEdp
awhzzDKMYh3DSAtlR8w3Y410Fj/BAIDvr2Xxkdwq9TtNA7P8WqB2lnKs7cPWsYRFV6/J1Aix5Fy5
koXX73gezYb4ok9eFQgDonAPHlfhhE6VG1N56xv4Q83awhbDdKCAgWomy6v3LW3KTJjjJKTwtBZe
cj1Bx2WRQjfKtUeUP9BrW7hegzLZqky3ebaME65S85xHmSl+s4r3xtuH1kOQTbiFeT3O6+q+TD4w
YOZlth/xG8MCo34i0ev8hDFkPjc8RPAccYqSIkrH4tB2nCgK+VXQqBpcdhRUGouMafZ4NjHxkyA4
H7QGt6tk1+p4I4/tKlWfg/yps2THMqJxEUWYlGWFqq4ls0rKqx/Fw//qKEz2M38NxbX9V6yN6vr9
z1jc6S/+xOJKv2FxA4xUpv9ypA6C+Stiv6BOJFPVaBXRm/mJxTV+w+VkMrrB82aS9KJO+hOLi22Z
TivZ0kCawTkB9/s3sLiTJsMh+EQTgRigBYtmKWaM/MdUez7odASNaGphmMpLuVXRm5J7E3UdCqvj
s2Gl5SNKQhn+VU0hyqZdugpyVaaYIZ5nCOZ1qxfZOM99HmBuUybpCrM80ZwNoWbtaipIQZ1QSTYU
QHqpmhXLODK3yKJdCT6PyEZ1lWWRZN9Sr4xGKEemfylHcslxlKdY6f53kf6OF5+00/56kd7W/2PX
vAUn1uj0936uUbSiAX3TLZ6UpyeZmp9ocfE31O4wEUWhVpMnQ7zDFYqqDXw4GSEbzLRFunA/V6jx
m4xGiGkiEvfD3ulvrE+FX3W0Pk286/TJY4UWDXJ6v67P1JWUwUyrYRlPvgjUlItin8qIV5SwbHHO
o2Ij7xGT4j3SQpVGWjJvEJTHxKCi+F2P6RqKi4IzWuSmt34djpWNoszG8qrLXqrXqarfF0qhb+PS
gm7SlJnJ40VE2eI+0kJLvPH8oM53UisVyy5xrfYpgUSa35hpWQY3fz+P7oO3Mquyj/p/Ten3LUP8
JvD8+scMfv63uyzh/47/J7/8jer//Phj7z1zXuvXX/7L/Idt13XzXg4371UT//6v/+d/+f/6h/8x
/7ob8vf//T9fvyNE6wRVXQZvNanq/dgYjK/212t0//o9OKnAODWrfy5RBSceYB0GnjsibSWTP/q5
SJXfTJKrBLj7SGUJHQrgIfK0TAHxG9bnEuVPUGyk1QcXQgYaavytJEpH6NdVOgkjkovhXWIfRNsS
zaZfsqhnuYVZF1G5Qi6s99ZIoI+oK5SwmWeCP8LeK8xiX8sJj8EEEylRbqul0EPlGxQUymutX8aF
gDhZKcTQNKnxt5X5EqjFY5X6ox0ELiKIqpItTLPtd3gpYHhldAFcBOGpLAZ0SsMnuPHbQQhwK1V9
pAs9o0ajxr8U9bacVem4k0d5kRbDs+mPio0Xoy0O4lr3RZwMWvkWMYIr1crv2oYf3rHYERloKS/l
H/iVXhtpsfEjt5lJyK7jPB+91B76zyjT4WIoX3W5/2QkHZy5InhoTLCvvY+3tFBZO2GMthru4hAD
i01lhfdj7D+aTYMOb3eBu/mbGlGiRQ5dtOVAxWE7eRpVXB4hLpZu+aENiOLKkKmRBdauhEHfCE2y
ChQ1XvoDxq5UUCK2uXmt5dJuQIQVXbl8C7OOQSBJETXSczoECyAQod1h4237XjuW1MhUJXUQpypm
VZ/1L2B/9LkC6bKbxAZ7w0LfdxIgFGslmWuTKGHbS7AmfcO9G9RhmGOEO66DjiutMDFe67F9MfJs
n0wqhy7UOO6c1DbMSQMxVRuoj5MuYjSBsgRkeAckjkU5u6zlruUNGsvzvuWJ1CsDD3td3ERILsIe
W2lIMJqwXSHceshsIm2How7XQrwwqVNZF8C5YFbqw7MnNVtSG+WXALk5r0WSDuFHo/KvcIimCTpp
QnZyioDXpBM5mihGqnoF2S10103EqypBaEsT0TsuJqlJXXav/K5blL7y3EbKfa94F16MdofRzg2Y
9/OKrNVu6zbI5WdDahAW0qdJ+vvp8HSi+yUzLt+zi9fkvfr/Jxvq5KG/zoab17foZDac/trPbKhi
WQZvygCywKl8eGJrv2nYlSEab8k/r5s/peal35Dfgt2laiI0cS59f5zYpENU4VHl0U2Vc3a6if6N
M/sHXuIXYIsuI143qd6JOlZZ1oQ2OLhTynU1BK4ujjRGJdNW5G49hMa9amLNgIC3Sw8O2ZnK2HX6
5G+gGrtWTnyLPjLk5kVF1wCZUr8uAQYkOU6LBXpWJaJwOUaHy7StlTXcQ0RKdLZfN+rhDrPEtVaH
+B00sbyLykqdV61XA4YO3+pSe0o6CsMoKAd2gSrXzPMTwwkAmWxFy0cnug++8z5yVy4HfSDnycI1
pMuiUx67brhPdMQxvRJerKfzH5kSIL5qlCqFYxFodZQtI24ddmr69X3TU9EXI7+GoxVni7EaruPC
KzZmE6cO7ODOLjqJXriJM1VWeKAW/SJxAkGiW1srrZM3mqY/FepQZ0gYBYkJgxch7UGKq0cj5R2u
qhPbWrDQlTYRsy9lJD6zfl2X1b4bkIQIdAXoQi20jjQqoJZdr3/SgkLbZkmAjHSVJvvaQtfdbdyO
W3a7b1Ohtb3ekKp1mWInqZEYaV0qKLh3Q9e6V0MW4ahTGiaeN9aFWcbV+B/Y0X+fj+qXN3M7qMum
+vNdafpbP7e5/JsE9h3Dld/NUCfs+89Lj/ybgaWEYYCI/3Ed4tb18+1o/SbydGQrK5qOY+oEd/p5
M4fiyZUcDxf0vMAjK3+Lxznh037Z5ly7ABSqOCDKmmJOPq6H27wy6yrVzChcjVW9litrH3JmRQA/
1FBcHKTAq9//0UNF6FMcDSwwJINIkwusPMHGDlKK2LiCXiD4sHIz1Goq2ZbDh1L9bso4o17m1nWq
apS0b02aMGcinwBfHUb+8UA5iIw9bB0GUhDSPdRWYXsttrvC9R25Bj9R5RBi7sru3vRGNsyl1O4L
88bDQPTrH3HuNxw9gjIJC9PR4jcAl7pph/wmc+UzTK0/3WCnj/k5wT/ERQ6GWVpuV+SCF6JBMToj
PW9aIxVYoAFNh+T3h85fMm6mhfGnhXMQi4Pt8GPm4ki1qvDDVRXQJK5om+f9axqYV/9k1tg8uCAh
Vm4elTYaQ+16I2VILp6sStIsy1Q+w5v9i3X5GeNoD2hSPbRC6garzkwwihBnlZrT07pLzAeZdphI
ZSOZmj/5g6idYUKeXhSfoaftefDFkkooBb8SgpVpFE/UX9aDnLx/PYNnh3eEjOwVJWtzgymky3fp
p8AaEjrhLgrUCIndC4L4jbqPNGsgjPidtdTDLjyz/06ty0len3HijQUS/9dR1nmW13mvBat0MN87
7sIispeoxfK80oqXKFTPzOqppAYYTeduxdNQPAb8F1ohCKo2UZk0NC2iZNjlBRAV3ESjQP/29fSe
GtthrKMviDOyWjZGE6ySBAmXtkNV01iDj7Fhvq37wTwD8jwX7uhjAu5yY0NgaL4Fws+ndagEVDsa
UNR5L69GxZt/Pb5zc3n0Km5dIdFEl/FV+cdUs9YajN2z7zI4m68DneK9UCP946vpUxXpYC8A2eSe
3LXBqq/2o/khpx9xPYn3Dcs89UG9C6AXfHQs/t0H1I/ystChwWXqzKjSfzTIr0TdtRLTDYqePfk/
XvN/K2keDlH+dYiCMHajnDNETXxsNTTw3csW7MXXE3kqMx8GOUqZQeGpZGe+mA7zJGsTOxdfq7xZ
/rsox+u+KHJM0IkS62thVGajt+aWc25NTJN/fMocjuVouUdagLiUThSlNFcuzMk6Tm9czOJEa6Rp
D80aAb9aru0WPyz1LBX+zOLXj28syUjJdRqkAgYhN4SbWCocX8/eNQkniq8nVJqy4BdjNY7Wv+TH
uSk1LMTAbfdlVnyTIQsIogYmwdqXlfEy9MGLbpURILXgLgdi5Qnl2s/LxZkfcmbSj+kmUeRJQhEw
alXA3wmvjugp7Z9NadMBWDKABHInXQk+VLTCPzMJR52MSRngMAdMLZPDHCAkI/lcILQcvBfVm8LT
zmvuSu2xLT44MM5EO5NMjemLHGScxo+Hync7BNWiD6QuZ6X0iuKgUwVzN/oHwgCHIzOPvq5hjiAV
S2L5YwX6CmyGKl+mdXWO7HaKAPJLoKN8ZmilmfN85bD1tqZXOj6ajm7gzyL51kSEKq9fJP3JAtUh
b2IAfV+vnTPfzzz6fq0RSrzyCY5VxgzFW7vShXVk7HPExlpU62jjfh1Qnubti10z2cUffkNXR86z
yIkIQeq6LwS7t7RFABgtTzF/7Id5YapXOZYUGSh3bUicbAwdo8TJS3LtJvWTmSqizzr6W8tFdbdV
94BeszOH6MmFxotNMqj0KKZ2lMb8ssV5c0pjQ508SbV6STF7B0WONpk7blBXOHPnOxnv8yg9vjXr
niiUdcY5E6b9MsnlmUy1MFGivZGpq1JrztygpzT452/AS5ZbugkF5+jEGQQllZRiShhmu7dqzdbL
cTN0VJZ7CPCj5aMJ2LXrPKqev/76p/PzZ+CjeaXnr2gd2PCVmX3PBnHZxUAfwCSLb1/HOX2kWkhD
0hvA6OlokQ1qKweyUQUrQXnQtEtFXRTDx9chTu+czxBHc2jRUJLqaed08p2kgwMYXVj5F+jj8/Hg
yDbrr+OdG9L05we5L1QbvcbKKFiJVTCLAA3lwm1DJevfRZk+4EEU0aS1oGREsUA8GgBQM4Tb/LA+
k3b+Iul9zt7RQsiDogxjpeRiZSKK1t6M4r0wXuUNCn7gVWFOJ+0WxjiCyWB8zt1cp0/z5+X/Gfzo
itz4VODSmEFqo7jRjOYyLLKrr+fx5CPOkD9jHN1EqIkmRoyU7CqzriT93UoEe4iv/Axg+lYwLwSY
JEOyREfh67hnVsnxnbwFadJ7DQvfqItZEdWzGH5Lc+a59hc3/z8Gd3wF9woZcQiVKLQh4Ghp5qXf
dkszEteGZ+z83sqgRvG4cdMtedT+eoinc8hn8KMjy9AiWln0QpEoQwWlXsq9hXr0iwZk9N8FOkoi
Woyus+JNdxs5WwrFY2LtEyWcg8H+Os7J5I+4LabRtBDwp/t1zylqLodhy2xambsNOmT1kYJWDPcb
JLy74az0yZlw1tH8yVFBnfrHAYz9k1Rmt3pYrl08JwMxXwtddEad6uTnOjhKjzZbD80zdKeUP4BC
9Ct3jdby1mq0raJaN/9kIj9P7aOJRDSVy65BqAxgWW1eytpVW+cODYLZUD3+q1jHGy2QcZ3zpnQs
S9de/mp537r6OUQtpSnPRDp50HxO4PFmo2LS5r78YwKBEMKmatpLuW3sEj/fCAoejenrr8d2Mj8e
RDxaIW02NmOhsvBDP7EV3XU06ENfhzj9eEJOWYPVyIPxh1zhwUEzGHJkVAX5sZVvPMRulWwdZR9N
LaMIuw3wc0mvmnEZIVoqGS0imc9fxz85xIPwR6dpowpqF+pTeob77cnyVZ8PZ4q76sln2UGMo7NU
MgLMyDRiDDrWa9iV6ssUgKGkb4ZgDzrbai+zKLKz4UHJcPrF9u2b4c7rwKna/YgRs7TkqR6nxUqK
UWp98psLEblSBBx70LwPQ7XpaHeH4wr5eoS25pK3iJE71rHHxcAXoQUfzqU13OHXe+7jnRvZlGIO
Pl5RdhzbPhlLtyAlhcK2NN9MENflN7E1gdbCWhL8ZTzcIFZ/JvbJdHIwqUfppHarqh9kwKs0HZvu
pohlRwO60Z+typzcdgeBjpKJrrmDK7k5C5QeX+e96+ZSjFeC99yU4qzM7r9ejyeT8me0Y30VMRyp
C1jMqIgnYi/nO6Up5xpbbxwbu3fHc9eT6ez60xXoIN7RFhfLpm8NDDtXUiraYhgtM9l01C5b96O+
BDg5KwRxjXrFm5uXl7EobFWvXxhV8/T1sE9eVw5+xtERGxdDb2KsQQmRFose27CAs+ofXRgOgky5
4GC1UvqJzNwliCZjFNwLUKFSbRvztMT24vbrAZ2+2B4EO9r0WqUNVg1ka9X4T2O1BcUBi7WZoSwD
uLyYGfG+1kWn0hZRLQCK685sj9MTOnUgZTTx8L/7daxhqlW5JRJepGXcCO9Vt1VkY/H1IOlYnlo9
n1GOZjTqha7XY1ZPNY8ukOlZwL/YC7NvN287efYMQ9XObFA1sx3ayTYDn4Gk2lh2YJszzU4RX0kA
8QPPhr+8+vqnnRv/9OcH39qzaCR4BuM3hPBGk4E7GP4OYO/D12FOTgDuxBxe6OmKxyo9VZmHCbea
ACeJ70b16nZ3Qefb4gRb/gOEcvX7fvylA3tymx7EOUq0o9eiajqQhPp6OaqvWS0CJFpyPGZdaY/o
A8gWxG3DtDX4ugkPJV88V+Y8eVIe/ISjhNtabosmFN86AVc1di+6cv/1IE+mvoMAx4l2EJBBC9ie
eKovpPASGqnsfc+8HuJLZ38d6+Ty+Ix1XLLNaexHUUSsAu6oX47PeeJtotw/c/SfC3NU0utKVUKG
iDBW6W6bXr2UDHcBJ+BMLU2apuZPWfxgOEdZfIgrZMgrlqEfeTZQOqeVrEWO0WqrDWsfxmzcYuXW
urY0CvM4h4xGfc3seNFXEmQ3lPtTL9miGW7Lar/Q8nPSaGe2iXGUJ8oC9IsnsnwzlGkT8d5yezvU
RXvifX79Yc/NxPRFDvZ9b9ZNEsJP5eqPJEa1cPNNivdvnUKzUZFizygzBme+8uk77MH0T8M/DOqP
2lD3BB3b287fGOqNggx7jxfTEHCng9qFH097qyggKeWd1198PeYzG+fYgbwbm9jvIh4GvZg5hoFD
gvbUCgg9rE3xHyhagQP5I+EdV8Nbz2swIWGoRRTg6NHP2vEmF3u7gKL/9ahO3rsOIh3tnUCXAsUE
572qkuBCKL0OhjAC+pa2bsNwUaZg2xTl+9cxT88kSDwLjXba3UenpjuCtxeSafVEtw0oV3kRofjg
l9/Adv2jhfoZ6mhL1GmWuamZYhvs3lXFQyo9C+ZLXPISR1GkgoH/8fXQTm+Mz3hHa3T0yrgRwO+s
4uTSUx6jYaKdwryqbsMs33j1jeQ+fB3x9Af8jHh0ZhllhJ1YS/KLCwjr/rsqVQsR2nxdJXYMdas/
18M4M8Qf77CDbVj0ozxUDQFTMVgaYbPuZYxG+3A7SsPdhP2LI1zxTOncHXqauj9n3z8Gqh5lX93D
BzptmNomBxeoNIvMajajKM/rsH1TYsRK3Bg1F88Z0aOcBaNAd1cPV2ZobQZVe4pLY4Xy3j+aDcwG
DFg/EJUmVtRhUmpUlQsmMpsrr34bEfpQ+q0S7/3om8qNUMrMTdOdWWIn5+Ez4oSlO4yIrRcFx4Al
XXZoecS8WhFI4LLgacuvV9a5QEepQYr7TvM6Jrx1R6xPzXkl0JpTqoUZJddfh5q8oP/8cQ8GdZQS
pFoxar9LuJUgaaF012a/RRkSgxoNe6Lb3LvohycpBQKkzlXvokl39VnNzZO3iIOfME3HwbpmvwDT
VfiSQ1fNJ91YxZ/n6rkXw7mBHm1XubEqXQuIInjp/SAJ+yGQzhxU5wZydIVUVXp+Yc4Ckdr0xmr8
xyTVME/xzpzH50ZytPITtY3zrCBM1LXbdMz3kXruYncyt31+Eu1oqaPB2mCkxGQlE3s1sxCyDIDq
bYSM5072rJtnluG5eEcpxrfifkxTVqEUuA9ZaCK7mElPGW18I4iXCoehmkZnEEunWxcHgzw6omS3
EjvMyjiBzQ7TnbUV0cq/B26K5VGkfTeVV7d+xejzzI6bxvKndHoQ9ugKl1qxx2uZ3W2Yq6S68KW3
rm1nYbPzsmih53fYIXNdfdLKlS+KqzPBp9TxRfAJ9n+419RIFItWZO20wgZjWHO8CoZ7MZvMnXwn
FmInUNZdc6uda4ievHl8Dlo/musAuFbcjSyozLNILsMiV3W71WUaKsXKM+Vz3/bMHtGPJjmX69hT
VSbZHyVgIUAno35WhNVzGva2J0/A/HYBH8/xMN4y+2L2f9k7jybXsTPB/pfZQwFvFrOBpSfTMN0G
kRbee/z6OSyNWqWn6qpQr3sjKSS9ypckcO9nz8lZtGft1Omn6v4vPvPbZ/pnn/kv5xv7hTIJQsZz
1n7NE2PEJ8Au+ZrYxvKmGN8A07Cv7nN1lw5UgGGb/sXPv72sf/bzfzn5WlrHszbwnNeYUNJtOp3q
rLLL9AUYjqMVH6YBCKd8//Of+ldfwC9noRbLVjZZ/NDKepak02wUzp//gN+msv/s1/rlGFwrwaj0
iY8VHBW2qaT+SaKHPgH/YKsZBA4n7i5muMslNtS3S+yHoI+kclsqjySK5U1QsgUeB/hBRNxOgWd2
hj6o4b2wnTl9//lf9o/PGhPQMVRKevW/TvRUiiE263r7y44ym2zNk6SgfxM2zWLAUvsy9dDJWPRX
VwAYgHD+/Kf/4Xfxux/+y8sXdaLea3gINinFzTLugY39VfXkDw/w3/2IX963WRe0rsW7u6nn7DAn
ssdkrQ2udxeyiqaFBMlJ9T+Jkn73I395rSazMoZw4COdsiIwVA7ul0KegFT9D3rN7NFbusSXRLHx
1++OwFhDa0hlyMyeCQHZt9xL3V8cWPIf3Ao6e/LkdBLbV/+WmiW1sGCriziY/epdeokPw67e5mfL
R9C77ffWm/pQb9Zg/WkeYIH47XX5i1kZnsE/iDsNghQLaehvE9G/XA5JqlErF6pok8RUdTYGk1la
ObKaOLD0U40s7eW5/JJMximugOU1FRunbVcHDTtCTmy0H1YpNFtIoo9labFJaj0UYicin0RITK3o
U86yr3i9ab+H5CmtKApnUf8kVINw05YL+8GK7qnWRD7jjeFWyvPS1mdsjWW5pBsw919K08R2E2mF
Z7Z1HoBCnHApJ/fjWJ5NTTmswmCwYB0tb1gEy105JIE6RJGzxLAhQRDIl2JEjCgt4j0FscJuEW8E
ch3eyJrS3VQnDkYl0zF6cI6pkF2ivGidMNVZ69Y5ry0xf2qKYQZVrB6QofYu4zdnFbBRkTO/ITMN
3LLEETYttBEdfV74EGXVRgnNCzVmOjkLv8UNsmxYr8zXQzcL/cJoLtWYGnY9V0eGRjc5onQUw1cT
XpBu5uCVMtXVw8EXJVbcNGoEOuB4yqPZh94bZ8WCNtRMZ3POPWkwn5owWpwiaQ9Npf6MiSHatTpf
0xIRnzRqAbDI7YBRPNHjV3YLcOkZ73kqX0xN3sQKyLoWn2fZPQyUdCTaIc1i7vIk9atIuAwj6zGC
VC8bJZNpqEQ/aL1SJ4MQAvJGjrZjK8tuv6ZskYq4OoSx/SlIC9V83LFm7912W1ez2qoN3Y+m8QtV
DGJJdMPoU0wUXqvhYvRfsPK3EzOkpQzERVhsKt3IxlGDYkPVx2Y7JEsgybBVqx7gme6EjEegcA9k
2VnHxTZj5UHWKrQqpiMv4S7tEgfprmBrurDvTFT3UuXlE1CstnERWTntErnTqm2m5CKVroTESx40
V2sMdOaLkxjjvVYiCkVbZnXpwWDsSQKrY40Zfz29OZpK9yyrzeu09uhqk601T66UP6dz6E9tBJHU
hM8iK08C886lKIJDawD9/ORRb9902D2fXaEfKwFpJf+VUuubGygqvKFX4/ZLyGQvqaGodemto/NW
0Frt7rNJY+0WvegKO81YbF1rPWaYGC8zKdQLntKlWCeTTxEvWNdYzgBUi/lHu1vcmOcgG2SnjoHZ
gABl7d1eULgM835OF6eezwuIVL2StyLvaX97LuXO1pJxl0q7dFRZJe/tSgYlxWLvlEKAa1ioDke7
VRtPYEJdaB0TfJWYaHYPDj68tgm82TqGjfaZmaqz1NsCOW0o5p6svTemYAvR6CsLH3l5KFmcLptv
iSUMc9lJ5fNSnjP9OFrVJmXJutc+xmk7jWWQxvTLk70o6+7YN+7SzU5f040FDanK77l45DWzhfZJ
WhovgwIWQthSw89ZZ3ZN5O8iB1Znsl618r8AnsJgmSrCJgONuuL5vL1F72v8ZUSPg/IjTy8qL7R0
UJOHKmQOQbvXjKOkgt6DjDy99lXixIwTVst3KEZu2kDh71jEFAQYmhv6x05jXQcpd/TwUcDFO0aW
nUcFiMpEODIPmovalwWD2QVr3B312i0iywrCFEttGZ/icZmvhbRc1tyI9/nE9mpFOXs8S+pExVcK
zVNfU37hj+USlNFTriRO3n0ouoF5dw1MK/bH0gIqKCVP4qrz20fUw5G926H0kaFlLdJHs6fwCCew
Afg1vcpW4czzo8jjmWcQFcEGwwGSFwFXWbufNH/Adry2kTNxQCs3Fliq8oB+lvWnSN/fyi4hkHkZ
ja6a6XQEsZmm14RK4IhPbXQNrlBR/GL0won101qlbKeoXj6yxp9fewirXXFR4q+RydA2BR+3E8fP
CJ7YkPGdj0ctfR/0syVceipPpbDsQusnlcddP7ZuG2m2oQO3G9mjhSZtmLU9gP7+jfq4PA6V7DXZ
hzEpdicZdtzVdt1JsLwB2SKmHvj3GUqgwkehAS8Uzwu3UCa7g6Zont7HviydSmYE5VAZnaV18eM5
MdmazHclaluQJdCQfV2GJWWHz/1KPwQF7OrUPDUi4Mcmme26rR0r/8iMfVR4bMmDq2tADnPf9Z1q
R4arzq8aV9YNw1B+xTAW1qMknK3paKov/e3Fz7weCh9vJbas2di13XbEOAx9IHZrEpsu9mPQn6ur
FY65bvskqDm+1E0neZPuTeJxyM4zcIboaZXYy90O434Kj535VCRfbQVsOxC0yxJdk4yE0HJyFMST
0sLT2krTccmPE7rjKYn4hN7jeM8usj2mXj3tS+1ZDC8COFjIxGkYTEAam9dOUDi9T2L7MpebrnSb
wgvVZ4G/F/FMe0nkJ6v8sCLT1ZPaKz8lzTOAa62BGh3n5BKOV4sTHo1z81M0gMcAtLaImoANJD3r
w5E96142voryvkbfBVcsVxnpRYKDClwK/ZLQoKzccNxKQIB4TfU3GVgb8O3qYC0eL+1UePrqibqj
gsx+61ZCBUSOP3nDLC38hhVcFjQMJ1cOMSD3dM8uVcKvzCm3gLssQSzzod8ggyZQ4uyYmwfUyPAO
+jSw5ruUp2gCtV37MXvmY7Kta6KBU6nf4Zqe9edMawOpuhbaPi3dlA8i+SmG+xwwN5RzKbwvLc2N
u80wlnbHDbkUT8l014oHwfQTyY8sL81cRsCKfraN8Q5w7tj7UcPTC3t0Wg7Tj1zf66W3cM6JfFj0
v2YOgduFVN2Hb1X4mGjfaUnqea54lVWJAwKoLuD0QeVyFIORxfhuInLgU0is1OaEWbuDKiIQVHXu
rbMsBSahgAJEPeib/YS2XdlpNW02t5dmh/sOvi1vw/wgqYHYniged/CdKsMjLeii+66GCc7Tykuy
Likq86sxbirpNRfu6+WidEexQfmenSbDg45Yt4urL06r7Mdo068OH4MYbgvTR1DNwKIR8StaF4Vm
uARLeDzDq2AA4UbfyNw2d5FOp/U1lg8xDNPSq8o9znl9cqGNiFrQwiopnkbhMt4E467BVd2cJHyx
PLXAt9v0k2c36fY3/zTr7zIoxFl+0NWNMe7lcC+QyCnpSwclM8Rv0X4ZypEWS589TtojtvFe2MJu
qUhPpSdczXLzo4WuOb/QMGv6M+jcSj+UtSsw45SDlZ0IjlGg8bPLj8h8h/QtC7BRNiOoZcnTw8Cc
HtZqx5syC+em/NEVvy4mO0mejHKrGl9KyagJeO90K1nfVbZP69ltIXPLt9ljW8u2unwN4a48WcI+
MsD1O40eLLkzcHC3np65xSg6me432YNaMBf3OI3HPBxcqX5mVK2DUZjuB/Nkpb5uuMv0mgjvWgur
ZFDgkj5q6Yn5vUTfC+Ndtfoo763JHRX+2eaO7hro7qOu+pyateSv8tE0t7XhjclR55IVfjQ4+NIL
+MSeb2X47eSxBjvW7nEp6NV5bIJ6fM8mb/lcqu2ob2b8RHDomy2k6IoXxzBPecaRAYjGSXTHKi/i
sleVazTvBPlD7fn4uIsYQHNofo3xFvTu0qMcsCF+m8pLBiIQarU17iZ512V3tXWcIUQBlB55nI5y
c8hv6HgOlNwT26ALPXnyS+NFZBJ5UbddxSzRRbB2Ind1Ku4wqcyNRwALInuQL1XxUugvQrSXtPtW
3ZTmRtaddt6tOqPEd9rsF9GdZBzHYq/puwL9nHxdoAROu7J6F3sP6vDC9yz0rqztUUS5tRSwyRK2
W6Wzh6+cNCFjV3h19MIDqBI1j7ni94qDeqItnal8aJDazw+5ehKXLXD2JgsssoHRnaFBh3dduVGn
J6S5OfSg9GUYL8SM8rQ32ocp+mzkp0g4zzkNp7tIuvSDv8AUlrp9/ilVfgvFglt04pNd2FNym/7e
mAJ+92EBlr+dOz5iT4LOql4YwjUArIsbirok7yMrzelJmt5k6ach0tRxKBT30HH5JbAe9NZBTe8n
5aBop4kKZX43QwAnGOAWAEZRO2N9L2ZHCDZ96kDIH6odgMcs9oWGJJTb19X7zZxzmm5SOYOJ4wEx
jK1jWXorKoh0H5uXWnXb7g1FRiTuGvE4t94ie2Qz7bLRiBDl/q3TN7V8rG9LnwE6+QZ7YhmeZuG0
xLsyh/Vly4VXQqQVvBJCfL2rh0OG2Xl1ys9m8uXsLp/OM4r5sd2iO8/B7HQaOGtnTCE7Oj3h1HLS
zEvBLpSoPvEZhJjXtfs4daX5tcm5mTdpT3jsJ4WrZ0c1PQ9EC9lnV+1bWm5xdjG+ORsSoNyDjdyB
cL6QEQS8NO17Fn43EpviadBYh6EiXEdnEbvAVPPUDUUAeUQw5NDGfZlf8FGnUcA2WGJsWh0Kslv1
Jzk6KOYLH1wT++2jIuzH5acDfKKfB2WbySfMZZyvkvClx55BCpZt8uHckMlcJ/maZcdm+rZUr58D
pgYyBqSK7UwjbWU/kshyn62cfDZYUSI+KYKdvql1ArxtZjIcvkkmtoln7AuazT6/PhPWn2EKC01q
myBXV8tZqiNw8n68VzuqFae02a7XW5WAwTRum9BNBq8rr7XolkVAbMoyMsBavYI1GiTTV7Y2fJd7
Y9nr7ZtJ2D5slNSH51wN92njlTFRAQBrhquDMt9kxiaztnrmU7UuzKtgPLfaF9evZJ3T6SgBaWkJ
n1FIvrWf8fzEvKGgeBFBU0+Z8q1rHohCQ+Mn5JksuAFOU/yVi4FAiqOcW9mLVV9HjkLUbLVbNtOa
YS+kWwEC/npIcRk0tS0YhJNe1t5Zywa4IsYQWJxThGqAIgShrROaDsTzBJArDGyZ7MpdQ0ZrXRmK
OhE5JawZSm1xMoQn4zpOvoqbZzlG1WG07jCj8KqCvRUx56bPGhUVRDL21HtSQrNiU6tnhVul8Nv6
ovavebsZBldsbVnd6uKW+Rz8GKXoGkUQCsFknc1hO9wYOzb595JAU2ZVM/LF4SXNZL7u87KerfrY
KT4veyb77bpp0iBVrkmxs0R/xB+xotXdszQ4X5AG3ZboyKgSR50Phe6mc6ARdsvZRcwo7W5okiaZ
o0p2WPui+VHOd00fiKVvaecsdQl7is4bZK/gJiVIM/d17VH4r2NgOCfg5V16jfrjWnD85zsjDXpj
cAZ8ExqrSKqn0ZeKw4AEOc4cQf1R0r26/mAJUNdDth4t5gPTa87DpEUuB+JSEkf5c3scZDyfx2T0
cROESZCKLkEZJ45cgtK6pOq3tHwm04E1hZZMn1Kassel0lg+kN182s1QyEanYzx9duPoe2r9cDi0
t4rGBZT5aG7WcjOKLlE/2m3T8hgLmkesBGDEw70WcU+DCT5QGccKUEgbTQvGMShRe1in8S2c9itA
65mowx/oNnfOSqUDBMpwx5WvJ4cIT6ZwSCtY4VvAzKQ7IOOF+U41t/10C2X0JLGb/JncxrJOme5E
U2OP0q4anUndyp89XNsq2xTGVuRTNPXGlfOdmVjw37xUIuHaKjpepoD5+FjzefqWtxBeG6lCemiS
I+Ks7r2pdlHKM+kl2WXKNkr8hFmow5FgKvtoCTrdHybee5IKhi2TW4Q0mNg9/EVho3VjsdCeRyc9
2oE06hPfSEt7alzjac52eng/60G/HiukTrlypxBWvKgjijmeo32k3rXZmeV+SzwuKTnKkU3ytvG6
4rmqaKHUQdht6F7bNbMtKH1J2SpfAldRBnJoK+mpxHFRXsK5dMryHi0C8blkuPIKc/3GOj5r6UdB
Uc2IL9q8m8qTpV4seU+sUXCLTr4CnJw9RSkYmGfL4veMvXJujLp3WkRRkOYorC6Tl4snHsiY0EA9
GIMvsw09KXeFdViUXW8pxDgsDjkFZ28MYt5LE39Qv3XB0cJviOxG9KAMHwWdgYFBXR+MAlZKu/0i
W1D0oF4esvmxagj1Hm/KA8MxigdOjzk6jsomKvz5g1xLPvchEEHbGL6bFdlFFhii2+vcWVsxOQxW
IAj1LdQyy20iu4Cu4V5lbVBTLJI8vG/N7OnDmRYBOU2Vmfa4uJXgkM1Ouq9Wp5YE2aBnx+FFTbIT
P7L6FmCKN17VV6T4Wenl8WfN/WBwuaeQ7BjyO8r1l4reMn0q448k8xbKCimZ/kth7CRlLyGsiDzt
aSm3yOB6y4Vh39N8i5lkFsGJC08mfOg5fDa6z4bLSTFdohvKOFnxaEYg7mydr2Emqt9I+kfJWbe4
o+4o66U0Pa05DPlBEQ556E7ttc/uaK+WqTs9pMljSu6vbSzrKCVfi/5ooKICQA4bPLnvvyGLjQw2
VvmLaN2Bwo5TL6xO2Cx4NKpuY5LMcI7MD03my5VfNH44IYb5jNAOGLQ5C8Vtsl0h2nl+mqqbP0RT
nxU+Ie1nFf1KwXvyOuIAkConISOs5dP6kkdUC3dDspfrO4r/ongkpTL7w0yPjA1ZypLsLs5iwE+N
hRde0gJlwXAz0xDm4v8BMz9+hxILEt7Eu4DDhPifh31IPDUluT0PYuP201YpP5fwkfJMSHKiuYLB
xtLGiIHtB0XjzeEXqPEk5Ba5mIM7TI90J3vhOY1fy+ZMfWTFDqJ0QSrsmuyrsCCT7wj/EulscYIL
Y6CX0NdFbnFKNZTy7meENsPOmrZhxBV+N7Cstw5Br3hSdhiSU7ECDnasbwNEuOyvpDodlJJtN5M4
3WlQ1ogaWkfPA64AszxwYpvGXZm8L/MhyjZ1vykoFjwD5Wcpu5IIxA5zeWrlXbvepyUpht99hSO/
gFfCpHvVjQ3nalvtxKd0wtbGHf5GE5aQKX+JJJD+G+a6DOk2r1ZF3tQEkDnl7GwUL6ruhYtD1yBl
Zb6kKwL24IYtL/vzYri5/kZas/QYxYJJ5xkk7Ns1ELwV3+o+tA+Vap1Bk/doal+ydhAvDTNLOuPT
VJ4pVXpmee30rwhicsfUimul35J+h74hRpiiHsHh1tNjUb805SltCTmp6gVW8SW2z0vn4vUib81X
OiRBZjiQPCwiqOF2mVRIFqiOWpVrKipLMkFWnaX+pMunfnhrJb9K3IlJEvj82kYXDuZwz3ZqdZPs
DHuMFlpPSHuilJNmhBl7/sOEOCDyTGG3yEdLdFI03WNJDhSM9UWZyQDQKDyU3UsibaOP1aRUs9W6
z1TjzaZsSd3b2OEn4glRWj/Vgmh9UCyXPc4wuY7SsZecTCHd9er2Oc8PdeTV/V4ug076MKS7crir
yWIqmhV+N7u0Om16VK1+X4KFZ3pA9Y3YJXHONX8VT4lJgOUr4aMZZrYuQfM8RNjaaqxHXLBnk9hk
NpzlqkS8MI9Td8DLkI13S+avylWRvzsUaqm95r7RBtRwaS5JeEco+sUeLyplJEY1e+lYpwG7cbpC
3+IxXfaSeTcMOwUKfkjLJD+Et7ecl9dKdwN4QINWiUOGqwnUWigmGRTqzxJVWXWfmV6rvSzKCcuT
KVEQ3ee0ZLDfRNOxmnbFRLZkzyQeJbTtDQ+vtARgVSp+jX5nhLjHlE2BZcwElwglX7Pz6iVtPsLy
DJIwJUaVPDnc6e/ZuqlHhlsCK0F4V5AqeO3g69IFdZFZkVKeJu3Nql3pa6BFoT5nrZuCD9TxxtHV
6d12dtfaZbY7mR0VyKxoj5SGUQAAUiI3J+gcHw0CjHFjGKeaoHFhYq2myQEIZt9qJ1LbqSAyaRz2
7MDqz2Tn6lGfvwlw28INufnuB81BT0XZoOWBICw0t/PkQ2ri+uvlit+cAu1ZeEpbfCiYn/xED7rX
QXc04TQtX/O4LeQHch6hCOLaJ98nluu53SWZmraLvKSLD4vqLhKdMr/IgtX8bPqranjq+60oNt6L
nDgtTsOIeGYfydDYPK2HpOIVWe7K7W7VUFzs+8WPV294QdRgtud42Y98vVex3GfqXUdHhj0uSdu3
2QXhZZ9hwDtxFCB8WKfHqGMGYJsm54GRCHwDgk09j6mXFLEQ82QoD3q/0k450xINpc9dyx73FGik
DSbZqm3Me02+5PNpRTJYHkL0Csr8VhSnZfVi6d2kY7rspiioFf4u35P0Dukhf9FWqtBepbpo54pJ
YDl2S3IuNnRM7o3qhbxIk9xS5uXbqhmnjWgLdcaT66Sro9RcoTb73TGhDCm3SL40y/ZcPzV82o0/
kjktn4y8W1pg5V4T3hG28NwvynWldMixKRQzmjrqJfWdrjSItrySalKHWy7c67OvlM9k/YTqpeqV
3VWuiW8+BrbfVH9tdoLiGPFGDTkMXkegt9HdoqKPRi4C/aDyDFIG2g5yT/rLoN9lkntbjK64Eqca
TvNMgclr1fNcoxuksOP35mOmKcRdjozr6QudS1ueC9nX4mer9lHwGWw4Ni6raZbw0mC1CWViODfG
KiE9TcYhrI49sSF/61FzSEPC5lTGJR1e3ovNnDpkmbX1EIPaTSevLu4N6wn1UNgGQ/1081BF5kKx
jipp5w7VNp8ekTWRSs2wdFr1DiGOUh4UMi4EU/m+EA7dbKvkTr0XW7YQwuwT6Z88yut+mgNl2XIl
UOpA40UaPWcPSFhYedaGgxBtQvlRFK9re22Vz6rbWurKX8mWAdbxrOqelW7FZsuyZyO81ustw05H
P+0e9eShHa+/oVk+MZP2aCapT3Iz5lioFPR9HAWUOAbfpLvVXAoMF5mPI0vUoKWeTIUwbdmMRJXK
A2oYpQKismxAqlPBQEiT43Jbnw3ygGJvCtdZ3hryrgQmHdZXS3xMRmIRhSfpuRIe1OxH7T+qCvcF
ZBZHs55y8s60PE0yPtG7PnqW4uNsveecaVFQUJmQQSw0Nk/2zCSRepHaZ0V6tGZEZQ99tgHibTec
5UawNl6CMDQavc5gb+6Cnacy/XG8pLkv924o+Jrhm9R2phKLh8dwhFVvrRJkCoAjKtZ95AnlXRQe
V47EOLoZ7orop7HwiA6aPU0Pi7rT2kddt9AvfoKhGgBiz5wrfFkP5bpj9qeJn+jz661I3JQHImWq
KvtIuskusgsdlanlp2iJM3DqtFT2q/xam16FUbSlZdKlxmUUNMynYfwpJHFIjKCRzWu7emQHLqwx
+9QqGjYrdNsxOpXVJASCxYp1mK/EZ2IlulIRHs14uJSjNQXLvNKd7MtxG+tZsW3DChEcW3SiQb+F
USJTI6QSIUfHllMsy0t5Q68ViyK6bdMo9jToL1m/3jy9gwhNT1ojifsMp21sSlH292m6/wXKqowF
/tfO3g3r//9B+zf+9f/9P+4wvud/wJPlD/2DJyv9TTHBxYqg8P8hHPknT5bBNxUdPKAQsPi3Jfh/
cKOBQ4PPly2FdZQbHvq/cLJgoyXI6NBkkWfrsG3+E2q0pP/7fJUqKobFPw7ZhGiKv0w0T5WQNu2w
JACIBZ3iCk3geh8u2RjIeWxY9ihaNSz0uio/EIhLj42u4yXLtQ7pkH5Vl5vx1pTbh2IiBIuKhuYg
M/rBZIrZIzsB32koNbQFubLCqmWMtGwqsmOODKHuVfwn9S2anRdKJwbTpqHVTV5LzzII+1Xzc5PB
RHFYS1+K9Ze6zRTMXZQ1oZIxrSRUHDmhsThNLV1lJnacIWbzPVLC0pHGXsOeJDyaiyIEHVh6uRuv
lKyaoO0W2stDRek10dCWjly8PZFL0nyaWaiB6J9VtsUkf6k1Jr4E0pyQ2SPW9kdExg2WV4aBtZNW
0uwVJnLhzlTuKiLGqqaK3qgctnXWn4xc/E7z+rEx5kuVtl+1OkYeS7v3k9jt2064CplFhYJmRkfB
Hih8S9mi3c1tc+0sjhRRoCHXFvdLaB6g2tGh7rnn0ietwJEO7ow0E0W0Gh7MCukdQo7FqYTi0iz5
trpVUChYT1nm5VJx1qTqMW97Cu3xlilrduRMb5qqhxCLbF9hdWqlO4vpGp7izzTs9iZpzdxRYh7K
rdFLO9HMDnqrbnmQgt4Kv3ohFVg3LBElrTIFFDFCXBwL2oNg4q7vW1l4qcNU/ixDERdZOwgDlSZL
r7Kvdja4hKfUIESRMqO8xaXzGD9kBt/LFCrMS7ElNE8Kg9Am/4BOCyp2ZPazhMQ0aajjLWmlnsxl
ABqe1FcRCs19Uo3jZ5/r81EW8eyJN5WuthrhtpZmVKpEO0XbHcMSKxXcSOnlt/f9fw++2x7Vf3/w
Ofn78gfnHn/mn+ceKHrDREdz26tjSfr3HO0/OfdAZMsqihBgLSyxc5D+g6Nt/c1g25ohUNWQ9f/U
caP++2Tu7RTlaFUxOsnKr3tSfWomKqrkdJNai+bQoG3v56g2PqO119+ncix2YjRUqDyEbqMPGS5m
XaVAVEi1X8RD8tMZjBqwDlSy+CErm0ZfCoPpj36ZmL/jd8S+VmjvHUT+QKu0zhWqUtwXWdcZXl1H
06YuFpSunaLd94lGQjo1y2kQVCw5cd4wml2LL20s1w+0oDp6kUxW1Lc3YU3UoOHVkJjC88MOgaOm
MpdjLjWt776PYYKx77fP17qOn9RxmGskj2FdUgAlI16Gwtz87mu//H2w/Pc76v86HIuL3lR+cx7w
r7DNzV/pRV2+DOIgEsll1mR/XOsuRmD390Ht/33HbuCA//4dO7xnzNP/6vW5/Zl/vmNQknRQPUzA
oue50eD/EVtIf0MQpasWAqffTFG8mf9k1cvIKviqTEXS1H95x8y/EaRIiCQsxbQYvFb/o+hCve0a
/Osuwg2QYEmSZCqaiLTqX9dqwikTlSWsrSDRRFC9cxsvIe1K2fCSohJER0uH1VvDvlKYIBLzaN/r
fVj6jM5eDHXt2TwIvxjcRYkqyVL9UKjZdU6tL1ZMH9a1oiAUMVNbGh1TbbXfy5pYkpL1VnoamnGw
k1iR7Ar+x07PhRbfqFa7maxTT6RRHlnJwexZDOcQohLJb4XVZaBPYhCciIQcoBNLSkYMmprhW9jM
gOgWpPDNdBWX0I8yKoZ9T0fA1JkhEOugsqzvvlZ2yxhd+jnCW1yKb8YwMsJDl3rtVbwRsvTJ/PRr
r6vXrBlerDS/abGp0i0r+aYSFR1d3+VJG6fNkjCGl0TyK36N+4Q10STqd4nc0D5KtQdAmZEDjZT/
S6l/iyldAG1aJPo3OvLcEf1wnP/gufpRtC7GW387J/AiKgJB1pikr52UfpWaGuF8zWnysk5AEloS
ikkTKvei/yylXOfsiT7mNcFnzrutJPpXPlHMHOStmtaVvcz65BsVQcRcSipDxCg6p6V9Y7C09uup
vZWksnS3xCPjhTPdRWHoS0a4iLFKQ3rPgKE5wxB1jqGVDEka+7LK6MVI1P0MWjPlmFIN6jI6F6oc
umUHzihPrCfS+NcJa0hZUKwXlGp4LJC20YxFuy0yee0IzJAzTimUxhY6Na2wPC+S7cA0PsbpSS1/
hBZ+fEFlNMl+JimpmSkRF3+0Uqzf0Th+K/M0STs1HZrKjav/x96ZLddtHGH4ieDCvtyehYc83ESJ
pETdoCiJxr7vePp8kGPzcIgAJes2FSdOQlONnunp6enl/+32v/Dq/3dn0zzk/3ZnZ+VzGsVB+t6l
Tb/3t0vT/2DWg8gBlsWJKmx6E/3t0ow/AAqzIblxYM4D15Mr/fW5JCsa/zeMYJoKkCo+8jVsIACx
AHEFqeWnl/wVl0b48dahTcQGSCKqwePIk8M9nRN00j6HP8egLzgynyqzl8/ywoYHntRMCpveWV/R
knSySDMX7PRHvvGhk0ieZjhjw4F/BEd+KlLJXCXkqV+Ddxhu7fxqoGqqkC1bljKrmAq1CXCwFmRF
wizU2JR9qHVdfT4YX3rvSZ/eYZl+kdNKEK8huCs/gwJRJ8dRVFVWFEY8pu061SlIXNsa6bU/11qZ
opnSRCS3NXAPzwuCnA6W5iDN6BGSQoZivML85IwWUHce3sDbDZExNZN6Bhm7VJNUeeOPJkl1Rc++
5BG54MqG3N3ym6+JD1zzaKVT6U2L4uu4taKd4VMvbNRBf0mSgg6OcYCWsG0zujFz7Tm0YOpp3Y9W
kNLfY+VPEkMnX6Pe7pkPoR+iS7z+R5lTekqUrmBiTArOKrBZN+3U4st4x8eotjPI4v1rr6NPFnqx
PwvXOs+YitFdA0oMew+f2D539ICqjrqP3f48tONdT9emq4bXg69fKXlwjNMEclv7JdaZJfHk6tzJ
R1hejICOgPImTR91O/lRptFlkKUORBD1Z1ihrkoftjDZBmJdMa/aRn1UPPVOVibWMQt65i455p7S
c2faw2EodPkpdJ3LuqvjL0Ou6Zd5CwGbp2vDQQrhj/NGWYHaKRwpyQwOxMUh3WV9Gl6kFTk2TmG8
acYAJymDky0ber0xB23rZ8W4S8r+JfC58wMpTs95p02/qXFp0NHmxkN/DDyaY5yyda6jwOhhXSbF
aZZf8nh8sGkdlRkqYrbKfDCGKjuL3Vo9yA6tWwZUfpu4bj37vhyGgprFkJXPoIjR4BPZV0mmgiAL
KGkTZvdJBuVaIF3EBk1NvpqepS21fNNP8zNFrr/pIR1TUKRuoMJksn7KmfmdG9A/njxB5HOp6LTB
uRmJNYoBlQczemx8ivzkWapzup+9SL5RTRpAbCd46DC87WjRdDc2lKw6I4PceiBJnKbyB0aiqq0t
GZBTy10EBzs54tjT1E2RtRDotc65Xse3SkWfhKZXGsVLmIfr0K/OdIsKVzrS+lbHcaB96LJYfvT8
ASav4lvZVVDKG6byvbITnwnK0KuobI+0eNAnvfVh47qEybvZtq1H0BPbNLh79OqFfbviPJR3o7QW
zolZQBsIU9JVP+PAE6gCp3CVruuH+pwpbsp80SYO6W6lPElnj+ybuyjrqEsCRsHB/EW/9VMyOIoM
CDKD6Aje0cHG4QnFb3nBl6h9NBViKRptRton4v/mOP8nG8TklQSvZZAr021jFiZGlQIp0c28OQf6
dhs2NPwRCMowzkA0sKzV5G2XJAneWJIKOU5jJIVuQ7d4ji8udssi3u8ZBFeGzm2mOLKuyz8J5U72
zCudTpMiiVEcq6KVQdPoldTcA5zD9IRBKh+qzF+4vqQfAgnIuiy1/rrY/h8GTUgw/zsMokclDl7K
91HQ9Gt/R0HyH1N+V1NMMrYK/MCEOn9HQcofUyDAxO2UDIFhBdv4+2Fn/mEQNUECbBIi8d7iOfZ3
FGT8AX0zrL6WTkIZ0tRfIhu0hJNgwLZKncSEFVXnExxZCIMspq+iSvF6+tDHqbev74Ly3A3trPqz
Dpuk+5ypNDWTPGVAqG3tJsCD57KxdUYTDi+YOTWHAnk9Mhio5oZy38hQVVyo/Kp+PcYajZxZpHEV
+ZW38QlNElpigIs3PEZbaaj2VGpkhfZYFEBUbgZLKbUPLS/RncZ8HUMRZcK4q5QWcKK66vBkDHl2
68f4fhwVpTpfMo2t6plDRz9rGh2VSC4vQtlwaRzlqebnIf90SA+8SZrShqVr60CHtHVa5sEkV1Yu
63oogl0ZMI+kSwx9udF4Oba2tgudtL0scYYpzd7hA27xWdaLK510r51FdHak1kshR2eamsbHNvMr
Msh6zEhJ427DOmPCoJcOfm+Nx7JttY2U+pxDygE7w5Kof8dAKVUBlE8BvaWWVd2AXhvUfzmG/x9L
SiULx/I6S8vs5f2pnH7r9VSSQoCunazKxCrweibVPxyiHc3gdP31g79P5HTsjImIXodXV4Vv4fVE
6n8YHG3qP1DSKIoFuN+v0H++vTB+HkjHtIxJOm5DPJCK5zl6WDTdAcq1XZxE29i26IjZe3Q0teqn
wbgqs+eT5Zl5lwgvhncipwTryf0BAk44jm7VHUImhhuzOmD1lyqtR6EjHWx57RkkpJL+EmdZNutM
Glj9iSRxIk4xHMgI87o7ZH34LYtoqgR+26ZhfjjLKunO89xDUckfIxZo5aacc3ZkyxQyY2Q4NUUY
/zeKPrWDBEVzVT0PS+AGwE+nTbO7VUsLi/rnKphZVOzh9OL/S8sTWdPPT7SU1KSt1YB99O3kuQnb
8zTLPyyLwEwXRUw/PxERhNS+Eg11ZLNn/jn0af6Svf3o+CvICTO6wFBvqrBUqha1SkEQSAOuhLfv
DnplZxs9YGYpl8L9sjbKjBlO1qDpCmTjqvaOq75JozFj0vrgV8Uu0anHGRHPOaATlHFTKS/VcAlI
5ob+eUdONnXSbN2KwRtmKuQ+vWwpayorB+OnQZxEb9Mmvvkk7vXTFXb8vFLho+wODX2mcfglHi7t
/lPqXCYMfw5u+1VvaOzzaOgLYuU+rJt92TXKZmVhpvP37it45uGsKD6T+nj7FbqTpUmeWe1BC+1N
HjJwAbACWJjg7SSXdO9IqUSF7IeRSLR0V7xWmm1Be71S28c6+t7x/mbsefmbZvfq5JOEZ3/uOo2r
6iZd9uY3RYl2lcfLXBpy8oHPlaM9LksTsUP+2ocTcdPnnFh6bHcYoOe0h6oKdlEa3lrpn5ZEfzrt
4fgLHlsKflJjMFemSZVblRYjxlJr7zm3buzwGNY/KuAjvOxLpqcXMa3Fflv94tPpr4/USVmRc9Es
UxO8S+aRmvYhLTuEfcNsEO1aGlQhED21w3BuM0HbtPHe0BqK61+W12fmfFI2APyY9oOJq1N4OhVD
00rcJ83BHJxzD5yIoTTuf0+EcBIiVS/VUTebw+A7YAlwK0zAAr/s0Fg4qm+ObKoyzL2CHqPXBQVl
7uGguc9Z+ZD0pMHts19VZNoc03K4/QmgbeEw5crQ+LYfMc1rSFtTedHaj8sC3h8NBFgUIim/mKol
MhYBsa6FpcnQRsKpY06A9L09powVP5irYLnvLzTdVnTUIVyAr1hUpmwNMwNQrj7oMGP06nNh4gzj
eyWRVnyQOivJtNmTKfh5R0rO7VDIumvVB/OacYKj9t3YBbe7S/M4XlXXhPa37rn/Cc77vbyDFufo
XXj39qX9a/CDnDDUPfmI6SNP3ADYhiM3HR22g6Hd1P14qQT10xjhepa3cLKBtw5Xt6m2KTyQsUYQ
ON/KKWJPpTXLACzLZjQv2XrJQ9T6K0Jm7OSNECHqausw90tLp7G9fElJ0maNt1P1+CzT4VRs8hXv
NCuNMqJCVscityMcLYcunr6M5fqg4R1GhlLO6DYnRaZnu+W1e++LWLsTQerbteuNNugLKIoPbgyz
FYBBg7bGOTW7PSciREcbFQV9Q4hQ+mJLvXzj5x/iYeWGm5b/nQ2cCJn0PLE1fRjVGiyi+lAO6kUy
tmfxUF7l9FGXTf0QAqYYy+Hd8tKt6SW4piyoh0AO2CM5eWndMzfMIH5ageFaswPhCDVGWZiljVq5
82DrNL9ufeWaGyP5/Hu6TN9xsnyxZ3tePtlbU36Q+o8Bk3EdSfdlIXNO6dTWhCM0aqVqupMyYFx+
Tjymvlz9qo5pJh3X4N/W1m161Jzo43vy6DYNolRgS5Qg3ll5sdHtbis1EaAJK6s3E3hyinA9Noke
iP3ElJ4Vw9oBqCPWV+4AJYAtwJYO+ibdhJuHmDfZhuFt4ICWl3PW/rgZVZ2EoPkuzG9rsudRhEca
I+O+oWOerpoLxTT2vydGMMGkC3PqhWoNpN2PKC7PtPzFD+wVN7Smi2B/QeqXWlEjRKEmb1HtYLot
ANFkWZX3T9lpm15XTDDArs8CQOCQErfMVu6k+hIbl6/UdgOdDpP0y9LWdBJtMGsCu6ED/xCgjGbd
a8wYWv4a7fSKFJFZoXcwdKfV6kMFomWZwlKVaFtdWcMcnPWvr0tnCRdS3JcAx7goEz0qwb4Y7vpz
9ykFQYIG8OVlW5Mk3Ehqn8ih76BQGTCu1h+BuN5Qed5k3QU5wK1SaefLAmdXcLpkiVeIWMSHgKVp
rpa6Cj62Za5toI4SP8FTuGJ7s2qdSBEuKHbHiZqEBew9qjKX+YeRwEyZxsd9a8XPTn/Uu7vwRNSk
8InzG+wqcUdGTGj+AXpUeWFKYUWZtSUTfEJB82Fvlihj9xowdJ/ARsnHZv97+yL4BG+0kqSOEdKG
V5mjbCyABc01MNo1TaZtO1mr2gpDp0jx3LTvg30FtNBYAtO0YmJrOyK6gsGo0gEuuQPkqMwlBjud
QbHfWi0RDD5tVMYRUkRIBj3eqbPRR2XnePWKU5t1oa+2JWL+e1EuxUqIbRkgQMZ2skn0e6n5kUUP
HhNakatuhnglzpoNG05ECg7Bt+WmNQe2CNJkMGkuw6lNvGReG1SAf7OG1Hap/ZgaPRJvjcH0PJ5T
BZIyndr8VT3cAcf5eyIEZZo8KAs/JzBp2wI4yceyuqpB0/o9IULEbWZ6U1oSQkrlhd6+zjW3I9BC
y0Km4/fey/AmoqlWptot2HThZzls0Uz6ptFVnVdnivNZS6u9NNwayfOyqPnj848o8Y5L6KmNqhYq
JqPuNqb71fRWCH3mvcCrAGHjWy0ZJC44wl+zOHdB4vaAKCpL83FZj3lLfhUjbn7d50GSsC81kM4Q
i1cyyACfRmr1y3Jm1eHpbfJv8FanIuapUxvSsaGOzdboOUAp5oeeHJAafVkWMpMAJpo6kSIYgOuF
Y2br7IprgTpRxM03qVPCTT6YF6ZBAp0J5JLRs3pkzFMC402Lxye1tF8Y+risZRA4bWA06jgFnLMq
8rPlr1tZAtEdltLohYrGjibyV7u9q6pzLfm2LGJ2N2lJkOlLs+h/mz7h5OqI5LQYArOtD374kQbV
aLzJ6ApV9stSZm3/RMr0FSdS6Pwx3bJCkbbMGb8ET5rE6bKIyRzeneQTEcJF2/tNKtWTInZw4ZI5
r5v4LM1uCsZ1XKvcJ4zBLwtc00mwz9GXFbdMa2JW7T434q1NN/CyhPntf90bwTY9x1XUalKpkOkH
tj80NIv07crjfFYIvY/wM5F5wgzebk1V+2CqAmV+MPuvdXhmpI9h/OspVp6UryIEj1HSP1w4DiKg
1di3ebFN7HavdPLKcs1uCBTIijpRF9KT8laTyCklj5m3+uApX3GGmw4c4uUNUWeN7FXEz66YEzsO
bPiJqgQRuQYO8ib/ntzI++GmvPIvuhv70GyNL9Kn+NbcqdAlbaqr6KL6PgJwuHXu7HIX7Y7OytLO
3l8nHyTsXtT3yWDWfFCWv+hpDBTBZRl7mzD4pBhr6Yh5X3kiTNjHlt74OgoQBrxtsLU+Jy/0Vx7k
M3rXbqwtYDrPwc6+MS5gq11e92nn3p1tiqhkJaigWiJXmZGFmukXvKbcr5K0JTEB5ND+CPOAlq1I
mrehV0nCoQ6toValnHREljcM3yXf4bd5WFZmfsteRQhmCmXBoEK9VB9C91Yr230IjqbdnHuGfsjz
NZKC+dP9jzCRec1mRkFOBoTZ9JZKTXpradXRh2Z3Wac1MYIZqomqk8Nh2QgNAeM95MwRtK73m1KE
iHAoeq5YE2Uaz7phEuJKjzTgkJPi8fe0mYzk5JRLlNpyo512qJG2Ef2Afn8RgYy0LGXF1MQ6ih/k
WSdLSIlBPZKtZz2/WBawtinCpWv4RjAWFqfG0hhpDJ/ibGCO+/uykDUthGvXHKM2NA20qK2K+jgT
Iyv1F5Gm8mcBRn09/FPf/uluGOEQj12CBHDzAZ0G0PCbfxsdlPN0N17yPy9gH944B8Z9CMZqBogP
yxquLaNwXrHtlpFCbNv3hn1Zg36rg1hC9/hviXHkt2pmks+0ncYlGbvXkXy0MqC1Hn5PhHBKtTLU
R6PEINoOrF+geTJ4DOgMW5YymdWCs3bUt4r0jhczech+pf0lI8R1zsIBkrzy2JktDp6YhchVPMIu
YHY+YgB+uKnOhwP4QR8BCnpUH0FDPVP/tJ/cK4+mOfqGD/6zth/Ozz8ZW/N7s9KosnI5OYK36Kw6
lOjtRl/5Q9kFjFQdU4A5amiwAUEy5Ed1rRFi5cw5wsHuG1/13ACLDLpgH4SMQPXXy3s4pxNzraoN
vIAl06b5dg+7yFEyvUAnsHM2/HfAWsCRu2KohvHMOxsYPusXOcx/HvNTkYJSowYwXPPzmFO+63cT
nCNTY/YW7Kpl3ebu31NBgsdyrJbGFgXdIEe7aMfosk2yT4EVg7EGFKFjpish2lzMeCpP8F8hk3EM
lU9reRdeAQYJHnWdHXPgtrrz39NM8FRRVOtS5OFCfPuiBV4TdJNkD9S7FO6WBc25xBOVpgGsU5dc
QfDmMa1PHl0u6Ioa4mPp0rpfN+3XZUEreyUS29NNkRjpZIddpm+DEtAxo/qUc4/5gUsMujaJsCZO
CDCKCM6KaiqPM53J/b8ZfjQ6GZRkM5QrL4k5J3m6goLTCMeE7ELAViXqnQReg2IEOweEOKd5Wl5B
bXLqojs+lSScq6orElWKkASPsL2N74s/lR2js7vqXD8kx/v0k3edP4977ZgzI7QNrvWtdJt+yB7y
SwD9rrJP8UN59NdqWPMGZNC2ShMAj3ZhoV1f8bVsKo+k5HmJU3bqUGxyEJaXlZ9zlKQ0/hEjrHLh
qTFDWoihhgVeGmAbRbsiYt5kXkUIntKqTd7PNiK04cbmnQeXMqxK7SYJz5Z1mXfJr4KEfayjOu2D
DkEh3CyQN8UfEwaBygQAuNC7Usfgi1KFsLYZn39P7rQAJ8Fw7MpZSH8mRxAwuGBPgYEMObEDsIeb
tRzO7AvzdMMEX5nL7X/z/9m+v7A+1/faTt8X1t5tNtKddMyzrftR+wCg/HZYUXPNVATf6Zt5bLcl
ahoJVe66vgYGZSVkWTF6VfCaozZwD0wXgVMCu92qYBXWnX1ZSUAhL+/ZmiQh0FM96Lt8bzLKzIAj
4SkEKgUGmxWLXJMiBHoSI+aKIyEFDJnNQGo+dPNtZ684sDUpgquQXSjczIpV88Ovdf+n6j84/lpb
1PwVzdCLQXaDARhhvdwwBcWDAcRD+t11biYoRYDb421m7Ad9xfGviRIWrS7KwhtdRCWQ72jWjwRk
IBCMLhhpucx8METNFcMWuYj/G1i9KicsYGXzrFAUJNZn6rP8kt/Dm3ILQDxUXF9+khExyr7xX5Yt
cP44vQoVPG8wjrFL/yY3qQQHozLuWmOtxD45nvcX26uIyXBOHFNrwx7Idk5dRRfg31XGFtKuQsP/
HpZ1mbVA0DHIYNKcp4rjiY3U+VI+FdQG6BHa6roCQTODLuK3pIgxVeHpfSKVSPHK7619P0hHt1l7
Ss8a3zR9aEGYST/etKQnSxa5NgBMtcVZusge9a36kJ9nh3SXfCW42h/2zRWTrP1DVW+Ui3+j3Ktg
wa+3dVmojofgOGnOG4iK1LG5sdNxxVfMWt2rfmI3/ygx4dp0UwBcWndupn2LAut5WRNx8PGv43Qi
QzjAZTXGVaqjSgIfB8Nbxx6+RhB4fJ6WY7UBqHZZ4KyZn8gTjq/f5FOCBXkKUKGpSkm8/Doy69uD
n1jH3/6NMCaWNZofGMgVzlRQOSBv6Lj0dPhQ2ZdJ1TCd9q31vuSju+IIRfLWvxaSkUJLsfgPuq/e
GmOdtU0oT5dUeVZfKFfZtoeJs9lp++y2OV9WS5k1/FdZYnKlbRzV7QJkqQAF7L6exT6Y0Bu4s3b1
4w0tE5viNn7Qnn6U4cruzfoOjSo8SWvQcgzhxNlOpLKDPX6we5hwalyocD25W3nSzto9vdhTAZvw
SWy0NXrfV0yHUmmVqLet4lzYcvprOBJ/7daJCMHs06gcK/oRiY96qAeaMYs3gazC4dOtOKnZFTsR
JNh75zJ5DgEdSd4aUN+82fOGNdSVd+UULL+7O+BkpVue+jKQIG9tDzTcvBtCtsXQ/oxBXmhkZsEg
bB5da7dierP6MFXHgQIb4ydc0qnPTbVsbGqpQ5/RgJkyzlIIwIobSQKRomQejFoGzIEMeHww4PCJ
bPlZUlLaIEF98ErloDY6t3NHS9zyd82azD+fpYnIjdA8yKENdMOBeVhI7q5rhtKWJcw6LoPxLS4a
5kPEAS7dbhp7TGoeLIX3lPTGx9GCNbFy230v51+V0ZFWLpn5SOdEovBEUtUeQFpQSA72oTteOl/K
W2Dnz6OtfeveQqF6DQzSsorze/uqonC6+yyPlNSpUNGuAUD+kJEDN9YS4PM7ZRF/GNRxKIC9tdXC
7fNimNo6ZJfAt7PGfWK7K/m+2SQ7vYOcCKDxoMQUIuCxKws3G8vJGWvfQYW/gbXlJdvqT+ZOvoCJ
5qze1tGmfHAurN1aXXFWwRPZgmupvNSOU7Mgwe9+c2p4/zJ15RDOHvcTCcISpmoX2b6BdqnyZwLv
rExpalAAj6//jSNmPF4DQseUgUl7u1dGDUMtRMWokn7p/fuy+Tc1bu1VgNhEFCRyZJU6FucaT/Z4
A2jwv7BoJoH5SwZiRxMsuu2qISrLjKAazyRHjzqkF8Ovj47RoGoBq6VNfzcmbMdTl1jWpQcsTTPd
xtneHijqBMF+WY/3NjU1MzBSzeCQLTPB81ZE18QF6SWcjzQ692z+pZ/XK0v13r8hgqkk8CZx7WAt
vBVRhrWVhAp7Hdd03HIfZnB6SO1DbXjbsTv8C32wKxP0BnCjxAurb0wXc2PfA4pdfQV/EuDryyLe
HxL0eRWhCemJlkk4Kw85hipI6pH3Rer/rCw4H+rH35MjrBt4kgOYeKybr71kTkuj/JcG1nCFTPLv
CRL8isIYb5ZNG1QQKicgMAHFrehPYDgsy3l/C7xduMkWT15VgeGV5ChYOMUu92UPww3gD/av59zf
Spm+4kSKpLZyYIE1zPQrgcGHKL1t47ULdFqRt2HRWxnC6Qc9tfKqkFOT9e1lQS9Y6Ty7FL6j6FyR
3GMcpneMUl+NGTwqblc926Z/v7yWyuwnGEAaTLOMJjhub9Xs2qxr0iEilPXzO2toPjlFCXfPcJfr
8XkSFgDUT+TW+aFJXfAUq+xcafqPyx8xt6GWzai/PYUt72DaJA3UZ7AZcR72t1F/zlVpI2sra70m
Q/CBetlZSqoQgZZq+zjWwUfZsy4tL1g51JPtiTt6qoqwo0rf5CG82YgZSbDncKENX5YXa84NMppp
8u5QmFoU3WDSly6W2eKZquzGw3YsT7/O5fAIcAWMwcOw0q82q9GJPOFUj4aqpkOJnJaKXZtAJf2y
rND7t6JtAGkORA2TUMxjCnf4WDRGZAXcTqOOg0rKL0Vrf2uMhgGOoHj0tfC721gr1jC/iP/IFH1v
ryVjryooVctQL3eQyTitfhHnynlX95dJqD8s6zi3iCCKTK86kylecdTLDvNqTH3kRWp7qbiwPoNV
tyxizsDBlGV2V2MaxRQPclAbRdwHeF+ruNMjiFFv9H7lJpnV4kSEYArlGIbBION4I288jE5yURRr
1Y85Y6A7mGUillAcMaDLjaBIQQmb0rXxtTJEkFVYNmCq8bYoyydw+w9a4N0tr5w25wNPhIpBXplH
ruZPrj7fNXt5b+nb9Kw4SHt3Vxyqg6pvpM/e3t+Vl3RT7p+HK20Ps+ddcpse20Phb9Jj8qn5DMT9
ipHOBQinnyW4Ztn2XcMOMBrfhI65IDXkXzJ1wgDA2jjYz0Sd6LZslpvHI3A0mhiG9kPuJ6VKGNpt
5T009syKHoOvybV3DXfTXjtkF2Dvn5uX0W16HV537jY7X96DWdNSyYvTEg2WuNgWPYa9F3QuHxBp
13Xib1yai5YlKLPLeSJCuAGAyFdTM52sd9NeaLvqYIK3D3fYB0D5N8WZeV5n8Nde2Df+YVny7Mk8
ESzcCa2ht5Udo1tP5sMMvtfKhQLn0LKQNe2mg3USroxKpIVGn5JhcY+JBU+UtTfKcdPBwLosaCaP
CDgr+RGaAcCLly3hcdczvZxII+pYPUwpSUn9VRoIEsIMWh5P/QbHLcST2i4Y7VugUpnIy9ZmgudX
FNjrKTQH4Ek4GWkYguejJQQtTAiUBuzzsCX6P5YVXRMieLs+G/Jh9FjR0IQQxnE2HTXzTFsbdJ/f
uFddhOXUejPLnA4xQ/bB6Q1o1ZI99SpGpNZ6IObP2Kuk6ecnJsK4ceaHesyqFS919bFZG2he+/On
BT358zm/Vha1aNKl0JNqxX1RgpC9vClrMoRDXBvQ8PQeO1+22bGKbdq/YkdeETK7JZrGhDRALzxn
hYhEHchfl3GI4x0+aYUChWS51ZOHqoxWPPysNq+CxPb2NFC8zCkIvtUGsixbuzYtfUXEii4iEJct
lUqatohoa9Cwylsl8Tb1CPx5v/I8XxMkHBc9tng1NAjq0pe2aPdZCuVS2h5s49/kGghx/t4esZnF
0AO7cjNsoIcsMCizG6vWP/8LMzsRIRwVJ+btF5UoI0nHqLmVpfvlP1+dC0BPdRDOim/QE65nCLC/
Sp/cw7Bv72EThJbxDg+wqzbRg3rhXXXfjTvjcAVn7I5X9ZnxMj5IO2+3/C1rRigcKcYkmZn3+ZQa
XjaPN55W/aYE4QK0rGQsh5HzNOZP4fAjJdxeVmHWVZOr4bzKoFyK8wqhn+eWNoUv5XijZt8a57pr
+t+UIVywSuB1ahPkpIXbZ2l8CYECy6wVGfNn6FUPwfF0TemlDLpNVfwbL7+K3FupA1FyJWm6slri
jIIaOlUrdWjijQOxkAohdnLUOj9b0WZNjnBLJyMzHYPGrqT5k5Y4mzL/UTjNdnnr5w/SP0s2UW+d
Xjq1EjTA2hHVje6xLUAL8+Ah/hjBHQrc8rKo2d3RZZqgFUsHH1s4s3WtepbUcH964cUQXrdpu/fD
H0NcrMiZzcnYIPjQCYwxv4PIClytk/IpJxNK+nUWgHltQyWx84JMAqCbST49am46Wd+T1dnnqvvQ
SW6+8YxxLdab1Zh8Mf+aChViJ4bXDXE9ynxI6jzb8Y0afNWh1xk/Lq/rrAN6lSJ2YkAtYIGYHzAR
p0DoC0dnoa/kMFb0ENtag9KQ9C7AAZXao9J/MatHs2J6bIjPljWZtXjWSqGgQ2QswoJB71c2jiRV
h7KEUdKQ93Z/FsnWSvFodr1OpEw/P4mzzCYxy9LzCE/SfF/Z1NvU7jdFCKZejcD6+5UDSuhUNWW2
zwcUYnmtZl/6J1pMe3aixVDade6krFWXfE/82849xGGDnJJMp0PqR98vy1tbNeESMiIilARWFkYJ
IfYs4kMTl8/LIuafRic6CXcEABpKCwowHYcqnN4RjLfgaaa6DVJg6B6jHOrXfAwvck/+MMTQVlqa
t+I75rWEhHAK86FsEHxuDDeAmqTERlHhMbtaQWfvrIiYN/JXEYLHHVsrHUay1ocGSmOy0luvvraM
tcHANSnaW/PQzDCobRcpvEMhmIjgG/4YDe6KUaxJEY5S2oyOV8m49CC/MeRv8G2n0fdlo1jbkekT
Tuw8150S2jEUGaTPnafxTB5XTtKaBOEk9VnpdqkyebcgOWvLbOtHvw6WNxGyTH4YminI3oTARNG8
IusGDk/rJ4B9RxsJuNbWO19eqlk3/SpF7BqigyHUqFVivOq96ybb0fb2Rd1uC21tsHhWEozVE7Ub
moltQplUQawyOQM5+lyBLeqxMXYSbq1RPizrNGthJ5IEl9D3ftgVAS5BgZxEvzXKaCOvwgz+bGV+
l7+zQPOCUgE8IhE9VqvaQB01nKl6LQ8b7Uzbpbvb6Ot4GRz0nartocvKN+XmU7QLX1LvmK1ElLMW
CGQ2i0kMzjD4WxsfnaZPrJLrIteLi95QL9uqu1tex5n5MzbKhvbUsSlTOWJ7CxmnUTKgGjt0cphu
xij/0ka9ss/1fOsE2k2qJMcRAhJNAssxykKYPexbdXDu7cSwwTOKt4Ee7KtA/+J58BxHgXIt+dV3
z4WJxA//lEzvI2SW7t4d1Tu6M6rzNl7DxJ41hRMNhHNa+0GsyZ0NPyCJpDYt4BL7nrXJbnmhZveC
EgPFQ2gSAYt9uxeDFidmGFvVIZQLCFPcs3bQPv2WCLF6IkUuCLv03hzM9FslMUwjrXVxzStB940C
KSVtHcJlTYtTHJqhAYFoR5t7YYJDu9ZLNOsCHPLNeDXaPUVSo0KN406XpiqyAjA/pD3xXVt9o9Fu
u7xYsw+UEzmCA/BLX6rGgdeWTXWp980byQ/PoyG51gtrVw2/3prIMXHg5KPRg8yo2L2kdH7fw4ZA
SdnMNn75rRh+LOszg9P8VsK0dycXWjq48OhO6ezyzPmUX8BLr22cM2JeexOewePebkD/uBjAdNoN
6jb9Gt95ZyH/8PJnzB6mEz2Fa1XvFUevTPT0lQ953oNMcNDbf3XtnQgRTqwvS2mmRWQ0QcB4Ru9d
0jo3jJGv+LZ5E3ndM8HabVMpnFFCl1FOt8DibNzqyWliSIXhEVzF/Jo3/FdpgkF20GSowMSSZJDB
5POCH1nDvSRlZz78xP8mNDlZQMEZQa5EB5zKAjbavWE1ILwPKxJWtBEhe6zaK43SRYIk7VgyOwX0
Vr3J83TF3qZVeXfDvmoilhyqqtYkZTIFOyu3MC763k3WPgEnsNGL9swGxXrZvmc9IDzfwIKqjEGI
5dym9ZKuNpA35bjL7ocTrpUD5jSCC8bA++FhDU3Ym1BtCsNosDqHvjYn2Ab2lRR8DrwPZv3CO3ZF
n7nzeiJN3CdTasPIqrG6GDYur7h0vFvXXKvxragkbtLgaoPV5KjUG5CdhXL5WDX1rTnmh8Rmdm8I
j27u3i9v1JwB8tTiwU/rCnMegiNSlDbK9IQATx7bTVSkMGG6mzT50OS/joxN+E3Aqhq02TFiKrzt
wCFtyrpHOyv1fkg2s3kVSF2A0a/cWObUeSbauqOhzlRagz9L8EcWLGuhPHK/113SbyPHg58zSR6T
vP9el1V92fhDBdC92xxjRXnhkzkHyrns083fWcm3PFf2cDMzo6H4H8fW3aYZvf95falA5dYHxccR
yiMqara6gajjDL42j9ZH+4lg5VIufGh5yHjluhlsC0e+zeJ0q7XlB7JEV+zeReOkO1XtlE3Kqm/0
vAAIWLtz9LzbdezFJm+9qzqU602pp/AKGqm3tcLszvHSM8/u78ywfXSL5CokKvY07Ybm93Dj9vFH
W/WaKwWuJIbRZPgewh+lVa702s/aCgNvCg0aoPiL+SGIwro+0KYYNr00mfWwgruy/ViGa3nk2cN2
Ike4orvKGgzTcKvDSGtc1II64V+njb5ypLU1dQTTB3p3CLwWMaWnXoGmsU/q4QjT/NEMyp1XlVcg
50NS20q3eSXBq92cl06fbXIj/NNw8l3eK8d6KI+97u8pgn4OIJTdl3bq7Jvc3cpJtTdi0MTsPj7T
7RZGIBUYVPfR9Pvjfzi7ruVGdmT5RR3RANrhFW3pJIoylPSCGJlp731//U3OjbtH4vCKsSdmd8/D
xpki0EChTFZmFGlH3If7tqs3xKruksygLij035g2TAKKv9cYGC+4Y0BqIFiASjPiq/PaL4fUQy1D
yOaEOXvCAQ/irP7vk6hvJk67/SWuMpM6H0tOWz8zM9FOWIYRej/7qgvnAiYgFX3SrNFxDr+bIHSs
ozqGCY0kdm800FB2m/wae9SfFOMv//Hl+J2thLRtFbFT9RBiwA5zWEAQH6YidMPH/K6ACvHikCBx
8HR6thaQWkCTcrPs+tROJgHxsdcm3bTBNTjNhU8ISD8QWJAFMiCDfrZ4NNnLImmRfs3VcqxSHCYw
vF+5Etds0O8bbJaGEWHOq/XT/o0mMaiVr/U7Lj5xX1ZxlmpbeU8afYSFXt7Q4i2T9WcLdWdDz0Vc
91tLvRbCXTgz37btzJeoZjlIrcS25XyGXqVccwoy9NRwfz6al2Lgr1/nzJd0OdHNkcEMgy62VLYN
kvS+f1GQ4ufDv2hVf7V19r5JvHh6YSG7rENz1YB9kunPSxQGaXutaXjRQ375WmcxllFB6Se08LWS
dLG2apK+kqk8FlUIuZ5G+6/n3REfYA4C6poE+ex5FWY8icfI7HT4ILqamAWetQ0t/+u5tO9Gzo+D
0je52uM79XKf5duB76vlSjp0+cT9s46zo9Dj8qbQFmgBWH9K2uNE7uT4++fTdrGa9HWvzlzUqLPI
gJotnO2YYxqMo8VRgfEfIvSGLeMK8GvzVc+lA/zEOgrDwLBUr8lQQEr4TdZAOlDNt0A9GSCm0vZK
a4Hoq1mRxdzSKH8DTvJT7eDFO2I8mLzdNga98q0vXpc/NK0nKl0MdH53NAVmhwpNEjgzeJgOeDbp
ZVVnUwCIFIteuZsXvRqgJ0hE0AkEO+x3YyaUlDsFUzD+xCKXKbo9KU8/fw/9dBH+ejIwlAqRm/9V
7fluoisJTUY545uHVgbheLrvTG1nJf160iGAy0udQmi3W0H0qHCipHglqKlipqgdHVaE2Gml2U0J
iDpGwp9LK17HHEjJKq42hWw3S4MZyrku79Jleqi61ukrPXerYtwsPH6dhmlBSsKIAG/qsslyDoYn
ZWkEJMwxWZC2G0Brg2ru7mUHbeWpg8gro/c0g/7PUI/cyWYrX+tVGGLIdd6Op2QwHS1wh6KSadNo
fFrS7DB1GtSMF7rWm2Y98lR6TJn8eeDOIDM7pYnbUNNN6vEaZOrCi4FBcMyYQdQQfevzJi5rzMkc
Ynw9rdinwDjOdNMZqAaPhmhZI/Tuv+d5x7qojuod0On0L2UdPLTqaDQ4mwhintLINOx5RqieGcM1
fYGLnsLUoOJzmv+C1vz3UxNGvKQj2Cp8BJq2yp/iDEKb6dvPZ/NPyezvs2miogbROh25+HcrU0cA
grcQNckUYFyF67UNWR+vzWPc9uFZU2aynig6vp0S2XqWgyipdbkyR07NKHoKs/Umw+KVYwTT76q6
BdmxcmDV/DSCVnFUJ+RCFlKnkPWbuFe8iM2OgfqMCyVWIrSx2LfDAkRDZ09d50xhEyggr7sSuJCL
W4nG9Un7ieKcnN1xq4llJNHN8yM9vDdaLYiBiN4iGk7teGCjXdd0q0XdqhipI3PDa+tlb+E4eQpt
dC9cyF4u7IqXvjBgisfmy486e2xYHi2yqOAVSKjccjN7qbWqc9Rh0IQezSPkJAfD1qPqgB6Yw8LS
HZPxqM4cVTQKwq/CAJP0z4fhwjadhmQw4sFRXLXOKwxdzZZcs9BomerEkdNDPtYOVQ8/G7nAeXDq
cfxj5SyM5ARQ06o8vU7S2OOFkRCuNY5VnaxNRbpVkzqVNtp9EnlqMj3/bPziCr/c3pM7+ZKGyLqI
c0omZDpsqANFmx55PPQQHouu8WWe3tizewU/walpmAylk3Pygx6RF08S3F7VMl1FXZ4stc4esh5a
qCbIF66s66IbZPR0h8F9AH/xfV0oOUxEB7bNBwG5A/BNbrPUCu1SqTdtlu/TRd/mpLlWxru4xtNA
tgVsPZzH2TsNk2MiIQTsM+23nE5H8l2PI6dPrCsBwYU32oCENLyugdQe5aiz5dUkLrRxQQvOwAC7
nvZeY01XPOGFoOObjbNjmaODFisZbKg96B0JwGmJmMZHrrS2NVy5+5c37p/1nH0uJAMZZplgC7RH
dgyIb9wmrtk8mcm/Sbu/bNyZj4E/zRNoZrd+EeK+1daG9N2vn6/UxX3DK4XoCdMNELP6/m1k06eY
I4YJGnaV3Y5mDemg7mAZqM7ESvQQ8uyaFNzF4/DF5NktjpZ2Hqr49KmS6U5ydZOV1ZVM4NKTYag6
yDYwxIiy5PkkWkUHuPykRxrF5qABtrhRofITV7HpKNx66SQ206ij3wv4BwQb9cSpaYnyTxTiWRsW
lLU7tRdjeG2G6OJ2Y6LagNq5bqJ8/n27p5TXbTvh1chSDq3W1OF1jhmiihIBxqFKkLJd3J+/8P+z
F/+xed4SNSUtFCbxiTPVC/u9gbalVD2NrYfsYOTvbfFajXsLQCDlJY03c6R6ybD6+TdcdNxwqCpC
PIi9n6cEyE6qvElPjyWGtEUZQ/kEFE1jlVx5Ai9urwF4G9XAw4sm8/ftpfUUmdXU4miBI9Iyboi2
a2niGVWAKX3xb9b0j62zy8kQuKfUGpDmEEyhlo1Qq5c4uWbl4opMdnrRoe/9lyhJs/CCWQ1WVPXt
EaoJD6UsHaUPXdSLboZ2uRZsXbZ3GpRH0IqB9tP//+WJNRs9adOlan2ddHaWa0ImH2Sg9gJCyGG6
Ns0A5CH+vr8eWsSv/2fvzBl0EKyvqwrrI065pq6xa4PUM1xqG0h9XdWeD6iBGz49FLahCsOb/AKk
lKlIdqkoMYwsUjvylGNya+zLXQzWdAe5V3FfH07IVMFcS5iu8VL61AV+qhBdkG2mDXHwmJo22Vmi
CZIaU5Y2KtAcrEP4C/UDXXUb5uTr/rPEoKczOobDb+pH6Rmiugn9ISA3A1IlMd3QQ/RarJub4lEH
/f/0QoPoLp7FeJxBKoQ6Yfeq37ZHNUgOxaG9n7eGY62UJ3097+PV5JeWiHbVajlOq/KXteOr7E69
UZzOHlF+PJr30Y68UzfbLLbhhC40grxhm91veSv4W+KZG8Mmz8q2sDVsDoP48Cd6sulsK3stkDe6
A1hkuy5/tZt5BdGSg7FJ7sZV8/kvboGFhwNDZJDsO5+4imNMRJZF1/qWmTiYVhRJcV91ufezlYtP
xhcrZ3etHlU1ijLcNasyVqzUtnEhr0HCL5185GrolalINEB0/P3kdwPy1Dg5vepIoozST1gGye3B
ySM/n+crDvHSgjBQiBwUjSwLV+27MZMOZco7OMQRYpi2rPLW5uzKpl1cEEbQkOwi5f2LVMviZqx0
eG6AKo1ECfFQ4FRMfKFZPsaFccXzXvLwhFF2ok1EGf9PUeuL35iKATFs3KAvx5rtYI3AlPW3SH+v
7NtlMycoGVQiVbzs3/dNZekYLlbZ+oP22+ohtEP3c338+bBdYAjDh8GM7/8ZOTsJMZWIiWiNcLxV
173OWhHJbDdVXBNqWUi3biYatBGa31KrN6XODkvPiWP0bRFwDYo2wwDvQ0j2XiXljpBxO8TzlY97
KWUgjFPMOXKkJ+cBjuQMg+8LApyCwptVqgizIgBHlMlULwPinhSHn3fl4mnCXNOJDg4EYufZpdVD
8C9rTh+4Aw14oriZXglF1d2l2mJi48rjemnOwACFGeo0SMEAeDzLGYpoVNOhKlDabwFqsNrCSxoI
jWgZE80UPsXxjERJEZxV60yFWhOfhsOsXBPrvkBCi6OAFBCMXWiLomD0/bwtCy5vD1F7fzHATQP8
qX4LhZyHmYLcvczKfVS2N0s0h/as0FTEJk8glMq8RIm9xAwdJezQQ9L3OCyrmVyL7C46ETDa4MpZ
DMfg9Mm+3LmwR4XL1CK8nYn1LDGFATKxK4H0NRNnfkpbOrTOAbdHOKD0AnN0r1l5TSr1sg0sQAd4
wGTaKd36sgwswALlM2zU5LXqDuq1lsofhOl5jAEw3X8MnO2TWrAKLXUFUiTPBbOVQBf6rXUX7dsb
lP9uYte8yTbVb/V5a73LEOzXs1M6jc0dfiUPvui8LMhvIsNHy+j8hTFytLwHcvpeefMetu27QeKj
1o3/JoaDdi8eZPBwoGx9tl6SJgrYhcvGH5XQJsqbQUJbaT85UHdWdG124aK3/GLtD2Ljy+fDwIeR
lyqsPaXCfFeeX8NN5OmufGidRsibzC1X7f7u2mTgpb0EAAklOEAJT/CW74dm5kMByKrR+GAetJv+
d65/hPW1R+3SyQQnlcVwkVSgPc9uv56YHej6aOMP9JDIo8LqK27u4iq+GKDfV8FSZPgyOxloH5ro
Nh78Svn82W9fM3H2YlqkK82sh4my3PTh70XF4PuVEabLJsDbySD6AF2mMyehsHQhjbk0aPjseXXL
tbUhH39exSkvPr/CqNjjxQMBByg0z31E3YwLG8YGnBYNyLUeFr5rq8clvctJa0/ark6uyV5cXNQX
i2eXKG8TUHSTCU6jVoWWqU6EQg8QVVfe8YtHDK5AQ+UP5IHn8bOeQKgBGLvG56gl8aazSxI5P+/d
xZVgMOKk6Aecyfkbpi55WckZJsiyj6CjapEJjbjmylEm/HQbzr8RAj9A/MGUBL3Rs9sS6riKYYxj
AD8/iYwvv5cBILCaLkJB+3I0Fneiy20lJ9EkseBGbVvzfTY+jIQ+5cUb6TWnrnQAFkubJ3daEgam
ooLlbG3k1Zuu31L9TaexR6jipI3hyJHaAwV3sBVNGF1Rg1rRUcupHaJPjtLkjwpEerTorgUEV7Xm
UytsO2OEjxXNZhwBuifDWk6PVac+heYCkm9o5SY1BJlpAjIpCKcVgz02v8w+fjSW2J4gCappWBh7
zSdvCUsxYix6ofJZDorb1dGqVSu3qn7V8dMy/UosyxtiZqsJewolSPqspzk1UYpAEAnJu7i4U1pp
Q4jApgj+4xziVUw90qmwST7dmFBzaTDf1hnJMc9KkfDIt2rADpjpTZriL2jVtKa+Umnnpkr4iXr4
bVQcTdCK1vEb6JXtpV4t5u9OCSHlUDgjeKoxWOsYtcTff7LBg4Lek7CzlTS+awkwUvt4AE6teqmt
equ0HwTMclIF00zzwOXsktiygci1hwiPNPIJvXVKLYYO/Arja/5YN0/DyG0awgMcy3HazUmzUhJw
2xt3uf5SoKRk0ttM/+TqHUknoceN2+JmkSay02aw2+EuTl8GmbtRTdxMobZqviEeExx4vhIKJvWU
grCKupifcCgmE5b6vVPf+q4SA0tRN3uqFiyPzO5pJrXWW5Fn+xGkzHG3iybLDcN+Q5vIaZunfAjM
lnlgN3tuJ4j1mXcDO4yK7o31sKVqx0RtAuwzTM0uJ9bDz5fx5Db+uiQcdRCDAOP0V6m/1UN1msu+
8U3rti3vyYKRGHWdKViG8i+Ggg3QkCCVRfJnUPPke768zKY6DnHDIMGGNXmQlxM1SYKFvDbh1Yjj
+7Lg9HWUWjWE61AZhtzieSOXz5E2j6fswAxTEK/UcnB0q8pdq9Dvx9qQYmZ6jS6yMQCEZ0yPfYuO
NCvidVNGla1WaNzLMvNNaWhiVMYj2BlS0cfDXTdX+6jSQHBZ9kKX3d1UgOId+L18GiO00lBHbLQR
GUJUghK77/clR5o2a9VJ6nO4bVD9S7R5cXUOPTC1GnJhWYWn6cDkY2znEwkcC5YWsi5sTiE3P+mb
rKOQOipNh8l0nZjLm85mnPzU8nknJzuTMxdpI+lmYd0gxqrYxbnhTnx4XEwVsFSuO6yb3/JCclFy
uKSio5vU6AcHcdl2SZu3uMxveBdCpKqBf2wtGXpyWqBdNWVEtKV+IFa7JqWF8uWwjmh60yXyCtoT
ndMLB5GrFoaiVIak8E9Y9+VwqAwj8DnpGr8l0kPC6yYmmKPCaGfO8IOpdOI+dEjN/FyLg5wtbmYs
t8wc8FOrVUJb+AbrXmp97hpy8opO81IzCiyppELm5lrvE0+JrV86AYnZYro4NHuAd91ySCPRZ1rQ
wB0koOKZe22LinFgZdk64jJIzGYFNn84V6Du9NZNURrXafZutbPbjWGg9lUBcEC4XZJq3y9dAEbn
aF2BrzLIkunXMip4PWZ859AgAWXjx6ii4K0Yk3SR5REBCv9YqKeXtilxD4ZKN/cYWnvMlRTMI9G6
05ZRTH0CEK+5JG6vLcGckwc6Np9WP1KxxPKDlMVuktVHNuTPTVfus6K0QfvhmWP+HC6oEOQ9Xp5Z
10XYNW98aKE2E7Jja0UOYfFbNOufYaE6dRZtVM14N2IekEY6ndE7mnIil5NWJELLAFJKnk7FO1/q
QI+L95990aXY4+sROAVdX45A0U1F1Cw4AjN7UIcHhTz//PeziwbA3kjhgxC7nc/FdXUGP9g2DWif
8eDHmMJbm0AbKNISLe2dMcLDVDTeNOKphA7dnNCtacpAwb+Rhd2K4eTpDQ1QQjvQplqDyXyPaYQ1
y8f7rDTWVi3XfRGu4M2FGSpe1837ZaxdBbDRiJMNge610YJCvrKeluKaFMTV1Z3FpGUJ4vOU1Yh3
RONsNB8sEg503pzJUd0Wyjilndu6a9rl9ghxVNQuHOI34hd4m4NgDkLvjjtXRXMuxckYs/zPjp9F
rYw2YT+BEwiyrK2LOe8gdzMv9023dVC8xh/dLr3YyeyPa0MUf9rF5y/bV9NnWUC6ALjbQ9PE50Hn
GGvjLlsp7yGK1Kk7BXKV+opt3tCVettDJJaK4e6xwni2/XvcKM7P5+5SwPvll5ynbdZisYw32ASz
P+l1fjZAsFjX6J0vAiHQqzdRJzyxJp638iIMg8oOL5Ff9lmIKazu11CDkccsj2Yc9oL19RvGECrR
V+2xr+i/yU1R/jth9RmC7vO7xfpxwO3FdldWDjhYDbVhOOyfN/ISaQCwmtDlwn9QQaFn+elkJGmZ
86zxpxxqE60BAjxTD6oM4tNoHNtpXO0tE/pIS3PDyiKILKW7UoA6XaKzU2URjBoBWHkqdJ0TKuGG
yTJkc+0XkLzooKrVxiZqnVvS9+7Pi71m6eTMvnhD4I5ymaewhAAFWh5ajtiRtohMEbK5qpRXe18X
7uq3pZ2O8ReD7UzTcUJZ0QdsKLRvWcCPauU9oIXFXdG5JngFMExs2Oom9arH+hq52yUo/Ff75x83
QztPSSTsP+9qsbu9fVgtQvifh+1x67r3UMiMhP37DlWdn/f5D1zr/JNqSHhRStZODYOz0k2EXmA3
06mG8szkIaraWPbTKKT9lIsdshpb9/3P29fYnYQ4jI7/Cdy9+Bwwu+lPT1D7Ey/EBiBRBKO4Jgd5
qZYFcht0WVWglC2k498/CVWz01A+floqNk+byXl9XYVoIB6PN+vGDq7sw4UIDIEzBcn+ibAHA+Tf
jZkMe5+3MLZ4udB8ateC2qM7OcR5i5zBvv9ViUSISUBJRjwcPo+L+6sRL+79XSUm+x0DTWJ9H3xc
m2++dA++/qyzqECJDZngYNaoHh7rahsZz/m7nlyJPy+46K9rP6dToHXDy3SGkVB/tlJqJ+rrSN5+
3uBLD/Q3I2fea1HShI+yryELS/3eHVZvhg18pCOdz9wehDAUUT76g8jAYaaKyF0n7ix+gzLVWade
4d/Bia9+/kkXAqJvv+isGBcZYyjzeKx92W4HRRN1eK1x8ufW/nW7/jlV5xK0qRH1c2hiZxGLzPab
KZ5LHCDNjXGBwJ5tH/83CvgVudx5+nl15MrR4WcezYJ6HU+HofanZ+6la/zzrd+Vj+Da9DSwRnpU
GIFxlcOUXTtMp5/1xZGyFunvRGBW7uC05Z0Ojgl84PWypntrP2y6wFrpLjlUQexzO/QN0OWad+jK
PxoHMM0jC6g3+qoOeqEGfHWt6n+JwPbbRz9zKt2iyQHZN1h77xcv3SAcEqkv9+kOv27lu+v70Ite
h1e66YNr1LVXtgbAze9bkxtpB5YP2N7Ao422KQy7xX+JyBwUuBzFngS4eMSCcFVxeycRuAf4Ezwq
687HAzCLNvi4+/mY/Py5gAr6/puMqZtjdcEJjWf4vfyNkR6SgVfiBnrynv//PUCS+92KHM0R1KVY
OV1rNnGYZ3q9T7DOg3IIa6FByQSXvXms/ETYcpNgqR+G+xvwVf/n5V565v/xpwAXfP8hGcuHJCRY
rooMoUVOYDiVeLw22Hb5Vf3PvUfG/N1MrhUS7eL/vfe72f742Dy/5uL5WbVvPW/1ivRLWA6e0UJs
X365mXjHP7Y39/eB87G+8oEvP6P//JY/ofOXCzlrimK0DL+lcZ5ua1gG1xP+HCbbgH1LUHHXBlew
kpdatV+uGSr33zeAaSGACSejTJyyMGpr9uHz3XD8QjAb8UJ/zeKlc6wzjWDqxKAElGrfDdJZV6Cg
B4MtSz05bPtkCro0tn8+Ppd8KmadNfS6gBPBJPF3K0YZmmY34RxbKbit6cDvyinPXLDABsXArsUk
+MvOL81p6h7LAq7gr67a0uSdjJC5+DKKcVeSMRW8vJakmuaFK8EBBURIj/a+qZ2vKYO45TK0ERK0
QmlWoySpS8dpRoGf7qxYJ+4SNceyL1aaDn3n3OCh3cX9dg75DXrhhagr7ZkO89Mw5F6csqdIKXRU
rs0VEj8n1ZtYVJCzuq9jxfTllCJQhFCfkKyBPB9Q+o3Th9kgrAH8FYOl/qZTtYBKrm5fQkowHRHj
4UftsMj07JUn3cBFog2qyBX+3rb1QU5WJeJSB1paEjehxW9J+mOc1g8zWm3gjIMtLAfiyXOl2NFc
byYT8zkGoF+UemoTPs4ZXmM0AposLFC5oL+6AjNcctDXsjMwgP3eTm+y3mfGdF8Uvyre2GoTuzl6
FsxcgqxBEKNhMjx5B/TH0emhknJfTcqqo2zXLjlq5UCQ62CGzqnTjP2NFm6WhIlJIp+gjaDGA8Qy
1kWE7FiNnFi/N5Rns+rXkr72GrTQa3RyxwXPwmx+hO1rx99qWh2HMQ8daFMJ3brrmlURfYbTmxEn
FXpWNTDXUFXJyevSvYRT7EQFe07i8KZJBsEmUAGk44HFOMQpCrA3ZfIJzgqvGzBMn2Qo3yeLMy2b
qdYOVcNVu18gPBl3oZc31WdSZELTm6Ayjw3+pYmQdzJ9LNgRSfCUFcTh2gdwkiINiZfPlqOjZRDN
CziMfnX63sS00zhODjU+IAC3T3qYAzETxlrglxJFYC7RyarxvpstoSyKzdA5SWXh1DXzsm50lrCy
pwa/W+PLruaNZ1HQpPHFOmgt+gsLV3dm1Hlqpd6n2khQzm9vzSp8l027H4v51qSxX6JVVVugpWni
YzvfcRoDYayBoi4ag5HNfq6qdgawVLaoK91K1lSFPE0c2TNUvqbZ3GIq9IOgj1ZPa2UORTQU+4oP
k81zZZvPoRfr+nOb7lXtdjZ1j0v+MCzdZjYsAcYqYVrNIc4M1BfDRrQzf5/owYoxN6Nwl544/7rW
o0RzKowFznMvOJSxUfKsJ4YmiOGG+EAx7x6Bt/WHRgXeNdrpuRKoZekWMt1GZvjRRu0qyrNVF8er
qu5vpBquMnS0K0LssIXfL6rHUY7bvEI5X0tukmVbWPWLlmMeTS/l8oCOyVMd6R9lXYd2pk3rUA4Y
N4LCWHo/xpartW8l4a+pmngonQurovezad0D+rYqwvcTpS4ZQzBhZ3YhM2/hBLLwi6119baP52Ay
0lWnltu4G1wJDE+fN5t4rLyiaDdAgXUgf8FHp7NjssZbit6dh5A54ShBPzIPjcOVhtvMiH8NHBEm
vI2R7cYKiJ+RKtuw56lgKDqhC9apd5EZRUEFJQM35s0MsvGuE3UB8iGF6h5puhvZ1DtNT3zMA6UQ
IMoIZko0ZRPOzC3YDM9iBElPvMVIPbCaQUSudYZlWRuNHiix3BEL7klDpy4GGYEGtXY9fCqTdNNV
oUfMyokjDu2AYaVYIGu30lWrq4Fq1fYw526sgrRVyR+ntPXAQ3JLIuJYKmZOpLbNwhyiM4YdytFT
lvBRdsMDuN9thslFFUuFTo+oTOn1c7TSxiMpF3/GpA88nUiTx6KeBCb4haZ8AiokivreMAc7yUKx
YPxbJYO/pKktk9HJ9RJEQkDYDMmjxmpvyOMNKQ1PVaLbQqVuO9a7uZIeTaBsJTWsEVKJIwbcBqdQ
yyDsJKRkdPnEh9LLiYwE6fXbdDDRi5ngYvPUj2WFTCM2XpSqJNi7FZsxkDVZLabChkAvIXhMUzNF
T2ic3DLXobtY6o8ti9dtOA8OM8ydlNWuSOhuSdndNM43SwLQcdyte5C1inBRweCCoQJNBa0PmxYu
ZMwfO1k+RpB/txteEWdk4ISIsiWgtEbzm/N1ks530sQX14zBLzDKZKMCgdyTmw91OHrSBHyZoxMe
1/dhVMViqs3dRJXXKQKPGQh+GE4pe2306rFL+tuZaFDcYEFUozfNR/i5sKACl8odZv1garEfT+2G
gsVEaP00e33JX/pkme1eiaBRpuHlSSb6soBvUPAuvq+48ZJW5NiVQF/L/IkaPRPlgKdADdHHQ4+3
1NgxTCLpgZIMEEDNWDDaPy02XvPO6bvuzmAgdwRu891Cd0zjRSv6VPeQnCH01Ieb0cjWWpt3hxAK
DWJZ0mOtIcAYjfSjhcD6YnVbtS0iR2MZul9mKpZQ6Z12zIEC19FyHuKxx/+YL/CWh2y0HoqI3BWx
HizQpbKlouzSUL+Bjpzpnhh17bgaMKAPaGRRZI+5kb1Ii8aOOsBfVml0NLPmhTboEuQxtytevxJM
ypK5QsspzKAxr8elUMfRzUO0FyJF/i7TCsCDCIwosRHW8OfaY5zjcsSRYgLlEB/DEULh2tAQp9f4
5Ddpjyc4kiXaQYprzgxd/eKoTOxYEEzAa8DViSWr15llVbulV3t7pCk4elidO5h4RsM+j5mLPAaj
/8WSiYr0LtJ7BsF7bN4iSq1vbdJTTpDKUQJhFFIs2PnShDekA778bzRJ4yZIp6EbISNUqK1LFXUV
zYWtTtXLYACoLYu9eToCWap6HF0028wpvleuaX4hFSqasHEsA1N2UcRNfxh1zUviiDpzDqcMZm50
tmTkGUPeuWMIrromru60OVwXtfI7LpaV3pjrodBvyZh9QAPRA3zYHkayVsLipUBzZumzW0BLt21S
rDjtA6lNzxVIwIU1y3tov2IKx8DbHqbgQtCN7kiG8SGiNUQJa7/Hu2t2+Tbvw225jIit0Evkybhf
2uHFwvY4SowgZ+mKl7hUx0BVsoDO6Z2aJQGJmkdjjDY8LddahKkUg7WQOTQWedLUK9EnZJuhw0tv
KOOr1VbUlhKeIqmV26GxfAQlmK7FeElTuJQX0HDNHCKNp0XGd+oItms0WNFnNPCd9HC44TLb1iqD
LgkmkHLFQrxr3JR6iBFw3R5S5sd94eeEHjNpQsIotvU5BUq7XpW0fgj1fD8PszeW+pFwYJ76Yd5E
fNr0uqb6paoAQ5LED2A99AwWbZja4HtazWJPY41uq9Lplp93PTh95uIJofUj7Secv3657cFXaQ8L
HmGF9abNKsQUilEdWJkAcJP2u4iwW877NSbVg2yODjjdOugV6t0ScV1QkC2IjGSJ06usd3ifhDtu
4ZZ0ZkzdJR/gATv9pumGfdRWt6YJH1YnybOWtq4Mp+P/sHdey3FjW5p+lRN1PaiGNxN9+iKBtPRO
EnWDoCQKfsPbp58PKiMSzMMcnb6ZieioiqhSUMyVG9hm7bV+ozmlJ6z+PA/1i1RpdlFXb1oEGykb
y6sqry/6YHz2TeZ/FocfLD+4MivY2gmSSHmlrvMgv+vK4kJqSTAmZW33CiTG2FNQbtKb+D4p8vs8
bL6UP8xgBDZ8jirgW8AA83QdkHQbF2Krlb60D6NMv0jIKC7NWGkP3AzkteMP3Y0BbuG8D8ybJK+m
6ryOzMyF9m+KT8wJOvxkjIieS0NhBDvNsbymVodVUWSf/Y6zoco0Y5UZVPIBzgFZkaN9mAZcT+zS
XhU694hfviw6isLdbQYsGuqSVqCBkVZToVBaqSc3VBIPvbmusNwWLsOvROKibWgA1gBFg8fDHm9p
hiU0zgxA4rCfeiarZd3Go6ptJm4Ru0k3TpRQjty0ndnAEz9f0GWWvSjwIbwaqWZt0gRq9HWm3XFu
uKW/eX9Exlx3Wlx+X0ZZVk4NI9XrMiCKkfaBN9TaQaTD3pSE5/jliKJZUl00MqpjDc7Qo9J6zL1+
E/gOh2EUnosaX6jSiq6ygFwED910RbK4yWUb6yHfLbPyct4XEeM41JJ2MeGho0vaVWdNd31a3dRD
/3GIJq+yQbPkU+2SXDzZUvaR/pxr+50bDOOF7QsSqgEWbQY0vosra9WE48M05cDSrc9OVHppyqnv
q7ALYRJa+B5pHWBcpbm0A6Gf6A++vsf/mASgfmh/qnhZv1VTmExN8ocMooScfbfE5wa5JGnAD0yt
sTxqNynEqP7+xFt69ZLehlxU08q40sywBGjUCR1ZgjvQHC45wYl19HrCvY2yKKYJNUtVsLlwgZRz
XfreaNDIOGzfH8qig/wmyg/l5BdlMk6v0s/Q891qarEtm9bzc/R3NdeKku3YfArz2yY5zIfffzPu
olKmZADCo5bXNsXYYZFm61nrWpWGu69YjX2w6u1PhvNBCsWJEb+uZf05YJBiFp01CmZLVn2kxlKl
KTCSAJ1EnpNMW6cAnFC1D6EWnQDbz3Wxn6v5bazFnoHhhJWHGcS0KYLEmF6b5G3FrDUNsCwof81d
4Uc0DSI9jF60D+U30rZhAnvfjiGoSSp20uGdz9Gny6dkMY+st1dRFi1qlIcybNQh/VRt8zlwxnvV
yp/HJH+aphEcYdjf4SJ6KGLn6f0Zc2Q5QFgAxYMXJjjiJRmnCgbVATuH7oIUu0PgeLX5TFZ/Yjc5
MjteRZn35xfLgRPSquNqgHalUy+uHypb4wgvXdKiE82Bo+OxcHA0mIOGtVTM6/VGQv5Vg33X5evU
Cl2qyeel8Uuw+D/nxIsoixk4maVRFA1HJCJFO/5/J6fadV+Ym/dfzvzSFxMd3D3KCnBn8J9eCuch
4d+FfWgy9SakT+zJM/VTb+ZUiMWbiaRkoDPO85paCpLfHOAK74/h2AsByqIA8ACiTrrw+tULJY+S
wULVcxoV9KumQ45djgK88v0wCyYQr2S2i1EM3QSBa8/OMa/jVPgAmpmFaUx7AOR5EPtiD4Tsptxi
r3im77XLYlesB3fcGAcVHm56iA/iArPP6/e/x5vnOX8NfFBtY94tsOx5/TXyEbM764fbXfdlEt/1
+kQv5M3jXHz+4pBs5SETk5oh2tz2K7PLVz6AnYw6+PvDOBVm8TTDLLPKdkA3t6Ca7kznRTaukN38
70VZnpJmXdSxGhHF0r+ViQX29r6sT7EXFm3zP2fGz1eyVGAk+1QDLSZKvi7XjdevnZVyjijDWeY2
O2tdAp+jYeiZm8pVd+PK8U6JDB6fE6g4y+yxaLLPD/vF7hfF49BSKkOrV1x30qNT/nvP8WeAxXaU
ZmT0oc0IjaJz9dbGCj36mKt+cOJ9Lfrdfz3Kn4EWszuO2rbIBfLQ4bkN/z28tjbZGu59uGnO/E21
+xp+7A7dWlt3F3awEoPrn9hNFrC1P78BknAAeRAxMJZ6Olj9lXqZ4VUGFmEFmEuNc1gXRbrhcroV
NBqq2npIUK7CdnId5Kdw9/PyerUjs/wU3iANLmQN31hT9VWjZqWMHhfMm1Uk0ovJRn2+glMgZP0s
L5JP7XDq7R596i+CLlFVTeDnFeVstja3Yvr6W3k99/qZwNsE1IOy1T89dVs6STtqZWvDe38reHN2
vx7yGxerEvWrZHbiztvCE+rXsaYs12yGxj4xuxa95T/erQKrXZWBjEOZWqwTdfJLk9IOYmcUNczV
dF7epHf+3rz2N/1GPMW343lxmB7qq/TmlLrI0UG+CL1YQTE2JmKIByT3452R3OoDSsBR6vlptX7/
aR7bC16OcbGCQrMsq6HqcUMl32qcu1j91dRkfl0vRrI8IIy0gz3JQwwCSBS4xNX13p9OKc6efFeL
A6L01RTqFn7w43Z0o8uRgsi+3t7Hm+pMB3VVPMHgPzzIZ6cgbHTHjy1B8KogZG3beOM1VQ5OEncF
89FKsmGrW6Pulm2WXaDK6MZ964WpuHFMDXnVIb43Yt1aIQE/uEYyaF7ft/vUdw6Q9t2gqz6rGspI
lTJ9i3rx2Syzxo1qW1pncuWv9Lg9J2WnGoohXn3dqcGh0oCzNDZVKH8t5PRJMcddKwooWynPWkPW
uE1oRKt6oR1MgVgJG9MqLuRt3Aju9Voru1Gj3Axx/VDMpOukARcqyZpb2851nRjffKQ7V7LRS2u9
CYaV3YJyHkP6fEiMi0MOV+AwNdLXZlD8A+X2yatpBthOcGua1teODhz0DlohinyYrPaurvRbgzbe
KhBnTor3syMQs/ITTxriB6DB26lLcRUczqaZCGbG6y4vNqVCN7kOLNAB8eNYir1UhAdar3NnAtYC
+PRDrJN2hJErZdKlrKmbJkHsXHkUjnomJ2xAYQgxR+zhw6x1OVupVbbRQmPnS7LbUDSNreyMMrBr
M0KzmnYikWhHhyhqpihkTp5h+mdGDBss3yb9WkMjVTZabEKlTddI50k0Yk5Y8vz9T7XW0z8aPnXZ
PpM/1JO0loPYHevsEgVET4TaxzzXPyc54jCKtWmqZKPUkqtSogxMye1MBDM4IYxB29XJpyF5Dmnv
ptdy9UkVwaeIGTxK2UpItLmNXWZBUIliFLj7M6MpPtF9+KjCyRv1aQ/I4Nw3uw+OXt7iSX1hSUyA
tDC/DNp0q5j9ztG+y0Homf5d6aTbtCErzZ5TOYRYE1w2RnPwxYc2MVdDiv2GPq5jCSCsqa4Kyvcl
TUY1b/daHcJbdOg9BKuibjzwChvVsma2JcprFcrzZuTp8mUmm6u8T9chvZ0xKlw9iDd68tSO12ZJ
Td2afWWjg4zzXUG5EgkEN4/9jWRZ6yaq3EoLPEAvsEgpxhryHjmRQxPZtPGzzRgHZ52fnFXJc0vG
ObVfSvnBSc5tP1qP1MPa5mPdYv3kPDfgDrp+ZfRMFFhCtjbC7rDPK/uxHsXWUiGLxNEhnmxXVsJV
IY/wvqIt3msriz6T3KfbSr1v+8sBAYruY2aRfFKQTfmIof8kqAerkUXXU1rVde2NECCNIVtZPCBV
IP4dfQwxVpv8EOph5CbWTQ8rs67v/XzaTDZQXFoedSIgKo6roOBIzWjolsLN+wlwuLlq8i+VqkIv
yFdS122MxFj3zoQGO6r2ZbKJMtrYhn2GWbzXoeUfDPWK8qwXd2INrZh+e+TGCR1OuEEZ31GGYtlh
HhXXtVvn5Tqk65klN4kmb0MZ4ja97elbN11R+/dijM4U5SF1Plea5hl1x8DTVdBR9H4a8swNlM5t
rNIr8TaIdMPt2Ruk1kZRPaRSic1bMuJQgH9LGXyz1Rb8koIEGSbiRuiWqbrPnRxUicbay76gGLtp
6NLlXADpLlpu31lrNRj20A3PUQ3do6buKU67tdPn3mmuCwE5tYu8Tp+ZvFiTuDCy2K5UfUPFDm5Y
XbVuNDWftTrYtVrZu5roPkAyuKXfgGbRMD72Iw4fcp/fy4XzXKgtR4emTTSqIoGHg7U3A+M8oHzv
pR1qmlOaPFdjba3Cgk0rSBmXXseb3EYgaEgdsQ7U8SB17V7Ny+f/FShAKqLZUVgP5X06xButSfa9
OnhxHJ41dJLTRF8HMwSFImZFz64YlU3RDJdxm96VNQr+aaju+7b3UBvcOiLap6rALqRwR0tb10CP
KgjLXWKvoEJHK9O/bwP5nLThgW7zeZFHmyBEAptsHOZf3F7WivktDavrqQQqUBguOt8AJmwvj20X
39FHqZrfRbamqrZWLao8ZZXjsSqCdZgMHAmDl7V2v4lMvjXWE6usNocTKdextMcwqG4pWAxwfV5k
I12l+06uBC0q6yVSI5uxyfdJXzLNnROR5k9aJs5I/xME7BmlmUUkH5KuKmIiIbOz66PLofQhdt9O
5peqO+UQcSzHwquESBTQkXZZ5JGgQYzW5A1QcqClFEQzU71uT5E8jl0FXkZZpIxFUPwZRW9uswlY
FSoy9izGrKkumBN3TD/9eurIo+PeQ1dGdZYk/LHTcmpESbtNLPSde4Bq6e37EVTtyFtSdBUwMcUL
+c2Ty6pKNSqZNBhC7zkUfAD0j/EnlgvS1GfJIXe3HDMcUdEqIL9aK/WqAUSwK7bO/v1vcuwVKvpc
SZnVXYylGFTVS3HAvkk+Pl3ZUe4ayimpynkSLCckhU9IkgqlyTeGdUOna5ZeyeTJ2ngWyPX51Dg3
Y34KInxsIEA8mfSODC1mCV3FTysVDayY7eBfqO2j7pwA5B79fKRgtLnciXX8Yq5HA2SctlbJhtPz
XL+2yQXefxMLjck/bmX6iwiLeU6/F6zTQAQNsb5+rXgzyn1wn6M1p/W2uom8U/aox1bWy4iLvcKu
QRjWGhEngeBWfGODEiztD+Z0FwfBWplOlSgX/Ma3Q1zcmeKBvqsyElDsw2v74B+iM5wGHjQoljlU
hxjKASIRrv519MQtOIOVAbgRlgHZ/5l8gj7DHDwyMyljshvTeOPBL16piDgHgkrj2wTRnN/SJPTr
qQEU0qQby/9ghCA2YpXlaY3XVg5eUBl2lD9g5NsCAEvLUSt7iObuBiXdImO101P1vI+jzwFMaozL
IUEjFV4O4iIs+zUIaA++/F7WI1duIy9uonWQRRvT19ETeW5/OEb2aGMMa6FEntZrnjXUcMZD7q+1
W9KDFqN51UXCA8CxS0NUmJrmUCZytNFnhFhejxsRSlu91c+yVt3ptb6RUDrsTHvdyKD2wuwQFs5Z
LVeG26D6vxKmk7mSIUCBON/NgtZ7ZoCQc3pvHBqwGFyxptiDoXtvT82lan8JB/3RFBaKadp2KMzz
IbM5vNv7vMb8Z1DJOVQjdVU+WmH/tHvrY6DI4Lxq4Q7kMUVen4WZiN0sBe4j2u+DUZtrkcufu9mx
mbiTnzsrUWSepkZAScC5TXLgmRJNPNC3jd2RtVXYQYEFhQ4Tc23rsZNWrOF29gHtG4cGFcxoQ0Wd
/9bqwm0qGfvYVs4Gs9uXk/BqcDeqFrt+U3yrJx2PJrAK4Oo25QAqx2gv9LjnCvAtVrmJRgfVj1fN
mG+HRsUHk8ylwVdqzPfRoB2q4dHvHqM0vRI0GJvB4vuCbOidb6odXFHV9bK6uGlCFA+SJsK6qj9V
yTm2t8K1Q63ctPC6XVZcxXx3D1uHeqSurnyQIUlSzIzSE1vTsezlZZh5Ib2oq2pSEGdqQRgFmJRd
gPfhtE/ODf3Ekjw+nNkBDTKurC5tiK2inioZgNJWj8IbqZKQl4kveufXbJL+3IVerPvFRqunYGQK
gFsIRU2ulKtbLTIOtjjJbj66v8xbi2Y6NiTNOQl48disRKrAtups6GYlH6qCUgnYqJ1Vxk8YAbBB
0J8OokMouF+oUnvVWD0wCK2ZTry+IykhDAEKBOjc6cqbo4umE3Lyad5uA/8ubG50pTprwvl6Hq5l
4/P7p9iRY9KyDCRMcJLmLb4RMcHUW+3CtN1q8UMMxNMJT1XEjhxaLyMsi7RGHgqzVohANrOvxuq5
tZyrpsgu0r6/8OXswzSb2r8/qiMT81XMRbd/CFMjKGQS3SJsL+Sk2kSlgqaQdKLffirMYp0NVeT4
MZDHbZS1H7PJcIu6v5BDcaK1dWQ5vxrNYl6iWWLlw0iYysq8QkEW5EqPUCfiyvtvPDaT/G72dHbe
bE9BooVkFwWBcmuj9fq2tKtdqqknto2j4zEBbMHugSW23Da6vsgn06/brV44iNCk062w5H0Gwg6h
nRNDOhrLou6LczGXrOX1yvG7NBikpt2mhk/9onAlJ19PTbwqgvHfmXQzDA2rX3P2en69ffQqygdZ
WrZY/fY0JHTSMTviWt+LZPv+ezq2pHhDs3YLWKQ3txE7zyPJidt2awzOh6JND4MdnMNcyl1bkahi
ce4J65SkmnYkqj1TwWlWY6v5ZnZEgL6KTPPbrWMEuZdnEZpmaQuRpK9g9CRde1vHJBOjUCo3lOy7
pinOhUjObHl8jCgOt7nvTr50wZX6EKnOjd6i/hyEl4pEBSGO8ye5KhCwhhOy0kFSianYaFm2M0wT
4aNu3Rvts2SXD+pUmiuUn241PTuIWKHdpBe0fPP2ozBloJ+1feJxH9kjbWTckZMDjKe+mUOhVspS
E4Qd3q8PCDYNyil00pF95FWARZota+DJkHzotibZCjXSS5SFtygtnVh3p8axaE34dh5TKZQofpUh
IbQ1ylMnQhw5ul6OZCmMiRKSJNKIEK0a3alF/zmPlWc0bfq1nnbneSdOoFqOLO9X8RYbPWnOaFUT
8cj49QhLniTZw4zzcqvy3l9zRx+eiqAPNjOsuqX2yFAB5NZy1CrLcFayKy8qf7x7P8TRweBcBMSU
TZGq0+sNRLIUgOQ8p+2YdOtEAVTbhvmZHk3XUlKfeFHHh/Mz1uLoSkK774YmIVYDgD8Oja9QPn+9
42bTi/p7PIsNsavKMO3NuNvGTndbBNU5NkfA7Jtg9/5zOzoWms4/XHhn8NHr51ZYNc0jk+c2US2N
tFv/lCLw0RfzM4C1YJQ7jZWoTZjxsArH7a3rkQ5oIXaZr544rY5uBJR1dB3xcuQx55+/yEBJSWFe
qIwEduXKRpTLiC768JS/wrHhzMrOHFHAcbDdex0ljPKhr6i+bNPoIdfOdDoNlrpNtRNTbCGN8CNv
By79M8783l6OBoGCPpeBd9gX6QyIOEy7aoejwJW8UVzDpW+yQyb6xI5w7BGyS1P0UdBZ45/XQW2k
B2ypKMFBaPY5BuHcqJONEf47bwp1ZcT25kSJ/3kdpnFAkwYSYTTji5+ijP6gtCeyy2OtZGp8P2Ms
jgVROAVNM2IYV/2H4l45lw0vOdN2za5aZ/fxWX0fB6vkk3nWnmUnUs5jzeRXsRdrKhSSk8GYa7b9
jbRTrvStvdUPCiITWEcjozCLiZw9p6vt1y1qCtt28/Vj6TXAyODtra45n2G8xztUGCkEKY+nEshj
C/7ng4FW/frhK1FptL3Cg4HzB2e0px57//6Wop4KsZhGkpJLtLGqueA7HtRDcqttaGZ5YhOtuzP9
W7cq1nQg7p2tvdF38UHatzvk6rz3v8WpL7HYpMexjgoNk/GtPD4U5udWOWUmezTAjNfRZAvB5+Wh
psHVSOoesEKiwjDv9xEQxPeHcCwh+IEI+jPCvBe92APg0UZpUBIhnvuY+pdB0LIU+Woqt1Z8Cit8
dGN7MZzForSNPB+LAYjHRI8otr5HTelxSleUSd8f1bHnhvwYGFR6giZqZK9HJQZTotkI1KKIMQSA
BmYpp3SZ5gW2KMPP3mF/h5i/wosHJ9RSsrSasXSpvKJhh8H7fVx8NI1vYQ3z9MlUnt4f07GHh4GQ
4nDwKNobbbfaKsx00OYWR1S6g1Ftbe3c7qAgGun+/UgLo4M/DoYXobTF+m3BktROAdZH8p/00nBD
LdvaAQU3szjzw6duoKT5TS2wv9EhvGvWqY31xFC1xeI2jdCKhUR8kHrQVs79bXkbrWBh7uMP4+Zx
+DA9pWv73zjbZ1lrai0KxkZLl6FR+IB9FRoexdzTBVEQ9MMmkE45Ih6dmi/CLA6NVGkhNAsaRFGV
7gKZwk6r3b3//o4dsS9HsjgboroZe9lhJKDD0JaNk4tWGPsE/eL34xwfiqlyw4UVjJL36yWQp6ZI
7JLuQ2PQaAN1kihf348wP4w3iwx3LsgZKJKZlvY6QtoFag8Klg0jRqUmrbhKXmvao2ierBr1uVMJ
0Tyv3gu3WNOZqKqiSA2mALZr1zSWv2hb+8r/Kp+Fh1MySEfn+IuhLR5enWehqfoUMzu1cVvrsq1w
ueuAXnWP7z9D5ehO9SLS/E1e7FRwuM3BNImEznnr5k/KJr7un2Cgfwz2upe7YrOHdg2Q2Pren0Lp
HxulgQY/vVkqmPJS5x396MGP4DZsralxu7ZxLRAzpEm6cfH+KI8N8mWgxVFcS0Htj/Mgoext41b6
KtOCyGp1ExRoM0opGuHBbkxPNtOPnZ+Wg0OTKuObhLf064cLmVUDRWuxBvo7gZddZ+5UtNHzMnbj
rl+/P8hjT/NlsMUgG8koSmmk0I4dp1cpgAgdGjhR5d/ZcrX9d2JRxZr9pXHjXGwimS1nlW0yMCu/
KPyHAItua6szrPfD/DAYWa65H/XMP+IsVfdiGRmXqGBMypVxVdynj9218dG6nLb6nb0aPvuS25+4
jh7bVGzkDSEOaRqNnMXKM/MwsXxDImvrg/UQSGChNn3COaM/WmPspu2JqTl/3nKEL+Mt1p9ldpTt
MhAkMRbbGbW4GsX+cThxaJ6KssitqtEIzERCzyUdx/O6tg5WoqPDGp2YFqfCLI4vnenSVxbeAVbx
GNSCoiFGAcYpruPbV4Tl2axCiQ4ToI4lf0gzpNaJxwyIrlkcgi7wWhtkn/65R2hfGdFSD0/p8x7B
578OuVhbRmSGlZGk49a0CzcuZxkix8srCpfUiQtp/IYpxtZJBijn0hodhhOT8u0+QtecLYQLscN/
l2wjvY64NTVi3OaajGG0fDkMyUZPP+tGu6OYfSI/fkvznFW78K3GAheC4Bss8mirkp+0zbhVUJgf
hE37Vls3BZhjHLozFZTA0HwwxOhzfbv7seL/4+vwv4Pn/PqPmV//13/y5695MVZREDaLP/7XfZ7x
73/Ov/P333n9G/+1fc4vn7LnevmXXv0On/tnXO+peXr1h7Vooma8aQHa3T7Xbdr8+Hy+4fw3/29/
+I/nH59yPxbP//zt6VsGFIDsqYq+NkyPP362//bP34AcaYDRyE7+42WUP//GPIx//ubmaZt9iUj6
j/3e81Pd/PM3yVZ/1w0w8FRGZk4YS+C3f/TPf/3IlpGApfVD9ZGGyW//EHnVhP/8TZN/NzDawvzE
matSeKr89o86b+cfqc7vZE6omVBGkrGFZhf/6wu+elE/X9w/RJtd55Foan77h2Pez63M4DjhKyiz
MSaXkJna9/q0KytLH8wgyXa2hDuCoyLNEJiIP+G0/t0MnS+5lLc8e3UXlIijOD7cXStNdqXcS8B5
80dJqXNUcFCwGG28ZZCmusLnVl5J4YSu1YiXSBvNjf7IkwpqJykwU25guMRWw7mS+mhLyQrAZeUa
SYXb3Ao+0/Q+9HE4IURi7Gv0W1f9lANntq7UMlPdwogvQhm4aJj7sVtMoJOrpC88SzLQWuu1dGs3
ynBmRe3FqGXoEZqF4k4Aym2nbDyBSIZiomSt8tBcSRTNOi7VSzRHxpXexd+kMrjSDNGeC8DI1/Q2
+F1Jm1wbqgRIZ5G4cTtUnlX39jppCn/WsKkuJCup3cSfGE7V583jWCh5fCMZo52uOvlZh1ZWXQgt
wLcow1LqPJHtvPXQ5L8LFO0JJdybiekxy1lclYH6KZVHuKJZY6yLqV37pbKtk9BLagCEfAgQXDW6
jbvmQ4YUFQ3Rx6lEAMMOUbKJwFsHiBzlMrC8Ftkc2jr501B0T3hW41kazq4ZCWpmpQ3LNgIpmDTa
babQzBGO9iSV+i7v49orx+BikOTPRRh9Qy1v16nYyIfUgLzUnm5J/FpsL7JZxGevAfXd+HF6X1Xa
XWFjvTBv6khxKPAgAE1tkKy5He0hXAucHZB/AbGUZ9i6i2dskBvU1Bo088b4slVYNr7/JRAoQJl+
/3Vywgs/makJNcpXUygFONImjKvwv1cBdn3Czix3FvgYavusqhx0Z40ErU/RTW6TWpfBrGtmpfrX
YGqd1WRhkxPF9rBufftuGjF5xf9g20dQw5QOrkNDRQFeg3Eli+hLBBqeaThu9cSRYOU3Z1FcX41l
Ma0SzT+kfSnP1h5pwinWOU73IfQVwzXkGquJURgPaM90mAoCDVKj4SOmlZ8mPIRmInAfdbfm1F3k
PisoScWmmECm9LV1U9dpiaSVmtOg1b6iMPPVkvvzSsnuODkwnuFzpgHtNLsEG5841kop+5tuqr8E
DgRMLSm1FW2tbVCl4MgrDPSG0axZIuJ5lklIwhRyh4Tqg5NtRK3l3tQW8a5MonvFV6aNyRT640z6
n3NhTp3/9blw1/zjAMSifnsuzL/317mg/K4qKp7hmE4i9YWl2c9zQfmd5Jw6t4UWPjet1wcD6812
8CebwQKwDl8eDBT+de7tDs44YHJ/6WBYimf+kNsAKkpSgZf2XNp/fS4Y44T+vqzi65RC/3kMza67
xskFSkCvjtsuby+N0uw8kKaai+riFVtisDKMSEWATtkEiPfVsbn31eKmT6zHsrN23BbO02iaVrYe
7MuwhAMi9o0yPvlldq5F0n2CVvk2lCoWtd+E6zpHHxHeBvj2fqwvRF5nGyvLJg1glSqj+lXajuc3
QS0jDpQnt0XW5ZeaGL0oEG7rUBvpy9G8cxIBXg6ogwFPpG0ShiD5RY2aUw+PAyZLvy2sXivOUERM
ja0kzGxji7C+GIb0xpwsfw8vxFzBah3XLVqZF1RXu69JX9e3si9r20bSq8MQB+Mlg0ctvdaM22TK
g33R+eJb74SA9v1cyGf6bGZVmfKEFpCuPyk0/r9UwP0GdwpKRNUMRXyx4zx/gLxle5ac5VeGH8H8
+vVk7SL6WuV1/r1ZpmKvsrfjKd3/w9kai+Ffr0rv+S5v8rdrcoYp/1yTJGgaSrIsnx9r62emJqML
BBoBrh91uLkg82eqplq/wxCd18ifv8Y6/itVs35n9VrkVzgQkFvp+q+kam+VhxWQadTNDIAgJlfd
+Yb1ougTK6GVTk6mb/NYxsWnJFFCnqiW6swt+wRF7anzPyHhs5o4nBBHa0wBz6w3kkvVKW1k9Gx1
2pecCfSKfBGmF7jyGEW1Ms2y/qp31NTdX59px+fQq2n2/9+1wCFJ/tcT7a7tn4R4fn471ebf+2uq
qb8DSsVWFLAmsOt5bvx9LdB+V0mBNSgqOLf98aOf9wL61EAGoZxb8CL0F5ONewE9WBBXs2YWDo+/
NNmQu3pV4uBeQC3FVohEB5xisLMocTiZ0GJRlGLHbnQ2oIeGOmJxX5Va7ppj8jEp7eu2ayU3yLN2
3ddYpkxxf5tHmroakxBPeisY1tqA6KleS082GZraTh8tRfHdTK+1bdnJxoMSj5qHvLHhKpXWfUiG
QBNPeLb137IfCVYh/GutgsNEYv8UihL5Xju6lAvjtg67wG316sJp7HvVGbEbENGnpi2vug4Uk7Bm
UloBpy90zrM56XS4g6zUlNs/RCMvLNRrhnBr2fFdhsa1JMX4SSKnCbpZkxsoJiJoNqUtLmrDkbzR
atzQtHelgCWWFm6hOtdmO90IJT7TUutWidVtbotrfdZV0tPhDLE3PERkC7ZUgiWBOFeqcy1n6UpY
RgUPddY9I0YMVrK8dEJubwPJmjrux7QEIZ3Wh7jJt5VEhpmm68gGTJ7A9LRBetvOU91lpMOaxT2o
tVZaV1xJPlvBMDoFSnB5fBnWwaYao0uMytAdTuS7ychRUDWtnd20WJMF+W3fzXLIKoq3PvpLK8WI
H4MKFSp7sJ/Kcc65h+KTOqfNtYPtXJAOeNyV96J2eKI9+H/YuvHYPoeD6Dlr9Y9mZ6Zoh5mHNCmu
Uz16tLv4s9CbR26+5qousuE8z4d8E/K2EX9qQi9t689xnl2VAnBZUqGZWLQGsih9vx1wyXOrsId1
PGDCnteNWNdqBvOzHssLn41u5Qft6DlKdtW32bfCGe4txHZQlCo2U1JcJmp7k0XdOeCeL10ZXaVU
Yvb1FCWfxxDa9ejwDis5zXZ9k3+v00FCfjmTrqembs4DH1M2aMTDCgGwPec3orDAqi7EzBfUxzLw
uqHlqlFbCTrTMJBEV6G/ZgrQKXnyCJT9LKx9OLFjMCEqpCh7354qpg4cWkjNzqpURP1tiFrVNYJA
gZIs2kuJK+GHUOaW1c/az2PYQGkuzYdETT/KDmgRPbDynV5Jw5XoBFdFNaSMlZToR3c+wr6O/y0s
UZ/gnq17Tep8UpHl1E3t2WzjmbFkbkvOCPjD9pdmpAHH3W+H43HmxbkauaT+/SFo+qu6zp9y1DT7
ZrrNh+H7/5wHP8pEswDivz4Pzp9z8fYsmH/nr7NA+92ZDwPmwl91oL/yDv13SwEqbkCAA5eO7+Xf
eQcloh87va2DIVfnetDfeQc/mvd/jXsA/6G4pP1K3sEV4s1RQIcCe09AyiDx3pRuW7lXxnwK2p1B
hQdfOVsytb0eDtn3ouzIbossT2fj2ipAh1OPd+1oqtdDN7a7WLVuRNVMbpr1aylQMFCO17k6a5HK
20kLnL0hZolqGYFP8B+55/uaviqS9AuCCg+s3ENntV99ofuoGAI33VSBbucPtZCbfj2OSOfIKHjG
6q5V/g9755EdN5aF6a30BqADb6Yw4RhB7yc4lEjCe4/V9wcqmSKZlNSqnmpSLiuIMO9d+5tio4QY
w0IeqjTtuIsZVqWacaxKGroo1r6KkMsdOyY95bcG2Kema4cx9Q9aWpUIS/YHpaiPUDa5yHvr4A8I
1gVpzHUqrzKmQZM8o97cC+i1IiwQhOLJ1MvHCkaTqhlshn5eS9HsyRCC8szfjxF8tDG8lVGA8Ftj
zQbpWOdNNYbgpkGwQ3bRHVX5vGpS11CC8zjKt76i72ot3Iix4cWZsO4TFao/lqBFCxlal451sXeF
gEw16zji5ldVqnhZfrXY0ZqYYMZSuSosf6u1+YZNyGk5ZoHdy4vkrhQeT1WzT5nNDEZ1jZ74g6rk
ezESNnrvO/RXAEPCaa0VwSpPUAUP58sCA19hQhghlCXmPU2zilB1tps52bfFCASqUDZTn6xFk8lb
nZ2ocnyS44TZMFFI4/bITPvZNZtyLeiGK0jWNopUdHzjQ54UKysVT4tp2PpZtan03Et8/BXGHDxC
4Yq5dEhM5VzV0xI5VvOEdLkewt5ZfNOcLqDlRG95lafmuhz9wY2g8CoCXp1ZGIeuMMxHAs6pLjzi
BGR2exRU2ipqtK1WVSWk5uFbFKW3nBqyn1jpMK4svqYE6WhcMzFG9++EoHILWS6cSWmRSs5TH8K8
Tx7I0AQP0GCNtCXv7Isqxy+TcVMQB26NL4fkyy4A7Zugx0yi15SeWV4fbZGxF2HzJ/dqmZuAqDs8
n+Z+tlV9ZCRpOmkQowJQEW/1eq8LYXgqiMNxZVR7E9S2GwQCWsL6cTWZj3CWn+fOPErj6sYom40/
DTdaPe+bXLuLh9ytK+soyIXTBodUsVLO5IbvdhiP+INrsccArS32qVyimTCe+VLwhFvmGin3RZhb
xSiBO1uDw2jFi6zkvmkpXNcmiLZKNwAmz9swdkRf6aVdP/vlneAb4T9uOn/nRcv05OcJYv3w2Dw+
fZIjlpe95gj1C7DeRVKOwp8dzwLw+ZEkFj4YbAtRUxC8tGglfvQLVNRA6MG/LEQChfzxT3NKkoBX
sHC38cgzNBzv/yhJvGjavdsjINBr0DqryPGSKl6QqW+6UyWScTWc1WGTR6nkFUO7rxrpvBGGnurE
dJCR9DRlDG0xLBlRsoi2cy5FVSC7rsfhhIRIdlIn+Qbnsux0CBqU5OgXRC5Vw+USogB9AoRrcq7d
WBd7n2uoxtD5sErYDIJ5pDZDvEo6HQULXy8YC1duJAT38awdWgsxzrELsQEv5cARl9sfEgb0YP6m
LnFhMnSkZdCQL/sjcYkc9aQyWiKY+DTKLujWxK5En54GUEVt6OtRH9etjLhojjqPMxKecORZq3V8
QjzCwkNVz4JIPJ6L3itac6WIcCeNAmUFjAXCaesTAGchW1GFH2ICo5EK28AwXIuAaY7ijIVzi9FC
vEFCdaMtobUoTiRC7UzIjQm93RKDzSLbx0tURiKC+EygnsOxx8wgYFcwXcFW3EpNuDIJ7V2hXGq1
IGL0Xq41gr7ZB1uNJJAW+QO77IuqklYjSULr4+MeBiMa+5vIEo7SBsECi3yik1eKNtgJWrVKZuC9
Puxc+VrC7zYnG9Wz4fpkJ4Ms5VvywUApRxkqz6K4thPy2Uxea8hvWWXuIvKdSd4ryX+WoZ7n5MOM
vFiTHyvJOBY6/Riw31oif5Z+fDuRT2dL2IOUQ1FJ9EbybZFHG2NpF8jDhS+d9ORlFOVLW7fkEin+
bi+19VW4JHGLbF6Q1btgPEvHCHHlkW/dpH30+wv4SwcjDTd9Xge22KWnJavpNoJTGQoHTbQwxaaS
AFJxLFFaxJblFNhvj5G/YvLpapBlJC3P5hU6pTUrISOge7SzWaibgzwb5io2ii0NYbwf/dRaxWLG
MkUQb0OjRyYuFkUktClrwrFCb0iu9J0ACZGhpCLR4tQKVLBQlWR0PPRcgo8cAIHtpfBGQBshdnIc
5zVbEA02cVHM7BHin3jdxkPkaXqRe202/COR/TdCL5OUn0dor/n28JNN75syXv+y7GtR+YCaq5qU
yj9CtPEFF9KF8cn0fvm//JgfEoctayF3IawqIae+6GD8CNEyUxj6O6htS3PwR3U8iPyPdTwSIQjJ
o/2IxASRn/f3doDoM4kyxqQ1NxNuVlQe0J4Ku05kjfCcdtXS3XKdu87aT6LmqUjMe3E7pZ4y+cWd
nPWG6PWp0t7D2i/6R6PDUBxVqBanZ2PMA6cPpDY/ERNjCJ3FOvpeT9UCPaGq3puC1hyUUjNPFaEO
FUfo+uJJVbtwpeHNcVXzp1DywHv9W6838lnBN1zaRqarT7laYd1TYuHXRIrhQP30T6mhMdgwwsSR
u/I08YdrZRI2LSTHRXBtW4nJQ2CmJxDzLti9a97iBoRUo2Anejo5iQmxd9QtYLZh127Flu66SYvj
TjOehdY6YjJ8lbEwszVx2NXYy9ihDDI3z7blMNco58jrCodxNelve60+ZUtBHdfQX7en6jheV51+
WWnSRmpxOlLmw+QLdCo57YMVXeZRe4TQ2WVWZF4FXVBsY6JihiV5tO5EbJJka6epeHoYIFTEacac
I4xu/AkTd6FYtbJyZPVSAo+eTChU02loUUWr8S7VpLWvZSshNU5mfGKUYFwXmniZT/g1KP7laIaV
41fVIcKFK9SlJ1HwET0oEM4CNDWMgcfWxZ38ciuG4Zqh3VLhV5g3+OMWPtEOrzKccY30Tmn4JUhf
vSMJFXbXTXQhZP5RHtVosAThSRyG58MA2UStvwap7FaKeElbCU0oVtd1JcQoMCiHNFOeKPBPcFSJ
0LYrDlEb+5tCnK5zQTtFsna2R6NBZEuRHDEtLpAQu6wt9U6J5kMTZV4cDTj5FtLI0lNDQMoMT5WS
tVGeBfcsXvFFq/HAyfytgKYQ0mHJamrS+6TM733cw226olPFb3d1n2i2UUkPNHAi/pwgr5HFW7Wl
fFSX1q3f97JDH/cod+HZDC/E9ZeFc+KrKW5e2bWuztE2zyc4mTN6FYzPfBuhCXQps+7g94A77ChQ
VE8UTL4haZwYUkrBnML9wlHDSeeBHVY6PcWmhqikLKR0xtK0MxTsG2Jtjs4VRG+domJfP8x8lxYA
hU2kS9OqzUP8mXTcbXJJXjFTWFzvA99VhMHCZCnCXelF5Sqi4K9VN1KQjTJjjpUquJGcO2lqoMsW
5udJZt35XQ/NYsRcA26CO0vWeamwSR6i9GRUUUBDYG5raZgGMfszrLx11VI2FtWOvVj4N6ZU3fQq
oLEM9yCUDvetyfWu2vvWF+50i5bNoslGJaNTsNHqoAXEwewlabUt5fnUZ+bUhvNtpVsMChEoRE7y
nhkbY8cKPp7ue2GpPFpMPKmpQhTkK0yy0on5o9xwfjNlG+vdOkfEDlU0cx+2FJOJcRJV0WmW5yTE
wdilVuZOYnknhs3XMUAhIxzS58lvtopB+y0hVVN293o5b8FirgUheRCrcItOE362nX6j5LMb6XBw
pGjbDBpKbMiMyfi6IUvI9105jL43eCltLaKONnU049FV1EhUWLIDh9UbuxS9vvi+lutF9+J2SpF7
rq1NB8nSTmXgWFabXFutdlKV2aPajHxAamL8wCTA1wnEUX2DmuB2IkrLUnatFhIWgyiYJMFJWKsX
fH0PVhXvY3VeLd5yqq+cM7b/VoQaeyGp1VZarVwjmZfYOPvd9bW+j0L1XvMrLj86HJqCVJsktdJa
a5kJG+yN3Lppq03SIldm+g3HqgVHEzKBPBI7HL1qgd9mzOOvWYyqYscmWK5AmRV9ptoFGwWnDVFm
A2vqn2hZ3m4rX62PskIMn+pUuu9TAxeAAPlJLR8nd0a40ylM4jLCPjh3hcKwbpqywsqkTUOvTIXv
ZLW/FYwJpePnFcxJ8+2pSD+Bqi0ve+0xxS8mWEXo7d+LlA+QBKoH1o60l/y79mMQKZssQGkueZ2K
sjXY/X8LGHajusofZJXKAlRWYQb+AVYNWsz7AoYZpIGIGpUVs1ARw6kPYP5U92WxzDSZdUg2tcfS
qMiYbEnpfSEX+TMC/tXOjDUFTDwc+c7HXfyijLIYiWKluTMyHzEdIe5MLGtqPz1J6zaCv6/iQygs
0pQptkBWar40GOWmwRULZdVROQUNZwREWYmN05CaeNeZuR+vGzXvnqqhFJJNXWtnZkdOh74noqpj
GBhDpueliahl5Fc3tRDqTog4n66MuLKkPJSFrSsWyFBa8dNk4ZMkzOq3SA6PsnThqjTZbOOn5Nv0
AEy8CmvaJKV8UxkIwir+qU8f2rXaISwyGPhYDPViMDjSAGA9Cu+ncmKuOd3F7IjsephmhJHKYG0J
SeFEWVGvyFcn3WR6U1jR1LEaMg3hTA6SCzPr3coc6Fz17LHNpqMkD69UPW7JC7gK6v2RgUXsMEa8
zeouK4VbabKQPtX806ER9gbuV1idKrNH+MTnyZDYT2nBzqema0baUp2kPkcoV7WRcabo/gkbqJXc
CSgVmNGzGTbhJtQF/6isC22Ft2biKbX+ILblZog73LaZAGAsV0yoILaNixAZUrfIT9EBd9uilNfa
RFkX9/Gzlc54WsmDq2M2uwo1DM+mAFyHQftnBgcUgfZq7F+aSfM8Rr07sAb0J9lysZvyhqngxwIs
EnQt3peFFq5KP3SLMGThiOQmwJLCbLfTxJR2Ui47Sb81+BYS/v4wpPvE0AosTsKroJ5PxjQ8qoV8
HQzaNuw0RCP7NLQ1q9syfF4xsdlU5XSWVMU+L4tjIzUerYpInTTKTc+kbQyQ2O7L9WQJeIHm5aEs
svu4VE+RRl0p0fR1SoerWexXVQNEpU1bt5e1Q+aLWCNq5TqZZyRaFyO6NF6rbNFc1qLITCJgKYt3
qhmvxVpFLlW4mVHXlbcvAeZvpF2Q3L+ItMlDWhTNJ6F2ed1rqNWZvpl0iWB/TbTbl8XO6zhP/8Ik
TzGAgL2sdRZkwI9xHqQfyyCeWkiCvGCJf/SKyO7xBw3NsNAvMv4k0r7wJd4P86AjLvGcN8iwSl3A
AW+GefnEJh6LJXWjjFliPrQEKsZypX6nlb6pHZBr0BdPMiCbq6lohOpxDBVjM3ORK6eVujhzgGNG
2j7q6jyERAunUKzmMbgaMyXbJmY+CHamFHh7xqIQ666kzLJv60P5WCEa7YTB2GHKVqqVLWUj5fbf
g/myh9QYK/z8YG6A7acP+eMnuMTlha8nk3kExxHgH4gmMOHLqOL1ZEpf2DUCWCEJL/ONBXz4AwXF
0IPXoAVhUD38GGJQAzBuAMe4SHguVtzmH53MDyxxjRqA2wEISwP/wgVY5jZvj2ZZyxb+SqK0DqW8
toMaCPEUqM+5YviTM4pJ/1W0mnCygSMbll1EZhOzKJcbyZuMqLbu9bYYDoNqXNSKBmKvFj3FAIZY
pedqUR6DJrkJ8/Bs5L/YDZPoCSu4qswlW6mwBofRsZtrSbWz0b/3xdoVtOwcy7gVf9RtumxclTLj
lUm6GoFmhEV1pEQ6YrnJcxmFnlwA2Brbu6IAEqGK/qr1zdoZAh/NPKO6lRc5N/AiONyOIyrlopuI
1bYWtG+GLrpRCqYCV8SkNm6MmpQfCoKT5aUHl9IZVf1MKsvVJClfkUbeG8bwGMxS4AXJ5I3hiKqx
ecjmDmZ94EO5zKOjNKm3ZQAe3O9hQtY5MIPiKJzBmOMI/DUW2fZaxj6VymvotS4MpG3VlZNtJiOF
U+yhv33dqb3l1iI5smp6e5yDZ2YxDK/HzuvLrnL0NL6qmf3jU9nZQdA/510NJVEXHxnTu0ClT8hU
uNOB7g5MLOvG9kTVRA9xvtMRvgIWxeHapCTqsQOmz1ux+t3oSe0qYb/tMJvsq/mo78MrJHa9QTKu
CgODRhzO8T98qoWM9W0QS64cRGTcbD5ok4R6OWbUigWIPplLL02Vo3Q27CzSr4MsOMM4zFNmijFy
+n2FAbpLID5q5zwCat07eqdsUkgEljicosLR2RWtZWda930tn3WisJX0TsAvvbtEkP96CCU2DGBZ
NfkavabLOlBcASNuP1VTCN+602mB64c1GvMSKsTTldCw0pOGYwU4Sa7lCIkbwq3WdWdGwrP0FG/V
UUefJCt2ZqSwVa5x0qwOQdF4epavcl//yhREt3MWoU0db42pPk2N6Uxuk1U8IUHNYMZmar0bOu1W
m9PTakAJPOj9p7FCpUvqojOjnECwmv5qFgSs6qPG1brcK2rlkKfWIsrdbEQ1llZMpLyyki6Dmc5c
HuL15Bu7Ks8HywmC0Rhpi+MZbi+F4RRcDp2pUwEx2sP7bcEmNjVivmro36rTvq9GOXr8G+C/B3ji
6s8D/Dp9eHz6LLrzqh/R/YUhRhPH8mKpId5Hd5yxiOAUEW8juyyJrB3BfXzAmcj6F6oUOj8KFZ0O
D0WWP2jvdB79hlT5EtlReQJnwvpQZ535oejQshhykSLP617X8+bcAO/6kAq1aDz4c6nNW8Y9s+DG
QX1ejvUeotFRmXPGYu43MKbhROhjyxsrLDAM7X4e5jMlZNiXWcq6Q2HfbUfOth+aTE6l4JsyF8dC
Ha8CUXAwvfZIHMdyUlz5cr2ZxewcOK87KhEeCcFZ6zfYUiy4KvEBF3c3CKWjgRVfEsv+WdSOhXWv
lAZbIlOqmb/lNSmnj0PSz/ySioYlKxl+SIJiHvMsjxglyMimDTrGPcPL+dcmfHub6RogO1YXA1iC
K19NNo1lRoi/SXHihWPX70rGdDgXp97EiOQ2Cue6vpZ5i8Pq7wX6foEopn9xgbr0mavyQhD8QQLU
eM3r9dG+MIOAQc3S7XsJ/uP6aF/Uj3dnAWIB/jag8iFjzn3jSP9Tr0Pj4/KZi6K4RaGPlvqf3B2Q
YO8vD0wNNircRiTzKM7+I48iCiV0g37CfNr0ncQKXa3qE6do+vrIL8k8kyiWO03v/D1uLqZXaWl9
EmQFWhXikDhzU30NzPl4aCfxekTqVzllh4npvGElXhOHDRZLrM8rcbS8LhvulTY9EbpY2tRFf9Zr
wXE5B4dITw0X4I/u6vD3NuBDWhfew6k4qfmqENraFbFDXAkJkLGxTGZG++mVooNPpA4Rjw0RY+w0
zB7EVLsw2+EWmNQes8hbEMqjByT/qOiLu2DwI7uqGFCzqI08WS0qDC/G67EYvhphXq6siD5cT8PW
Y/WM+zETcltGYRPjBgusmG+ASZC/pakMlljNzousuogxrGYaaeAqbjYXjVg8h2z0u8o668roINTd
Ksr9ndRmJ7oPCqgBlmnUTzNeJqGv8Id7fCqGBE1nQz4M0Dnanl1sOHXQX0Z4t+xuAwdH38YbKDMX
CopsRy37W3Wsob4NyQ0mqf4KuV8qHJYqUIrBLxVM3nFRtzMhOet89USREH80wpChf9efzXKMXMA0
nWohttxdLbKr0eZqY04jFcI03Q5V9KiNANYMo18ScAOnpqpWk1nyXoxE23Zpj1URIAt1Gu6syGe8
IiL/cdGWer6vq9w6BRjWbxMjsZypyBVHLqXQgxiMT7GQUuT2fXkhZfJQI1vA4t3haI5XnSSfVD6e
4ZMcju7foPQSlBYu/M+D0ulDmv0f++nhW/jf0LS88jU0iQvZRFrE/RHmgAnAP3rt25jrMthFTlNH
r+Pd9pkUDp5osaZANe6fbu81QjGiIK+j/U5qXpbWf5TdX/hib0YKiwXlS+/GX5OQCv0oQFRabK5U
CZWBohcY3Uk5cGbEMa+TJlFuy4y+aKvmkXan9pjNwMBpsSQbpCiyW1UQ8XIxZB93+TRGP12A6qph
izI1iTsPeWMnUxIcKcZQVl4g6J0Iyb9pd2LPTmOa+lsmxEHphDX7BGaNhitJjVhiRmaiMEilOhn5
ccoq0DyORrmdPdEf5HJjNWai3AeTHH2DgZvtCqOCDx7CXiAQ76ZZTNLNDCksJtdXs9I9SFzA7aAF
o7iV0VhO7TAXd/IgCcDW2RXHgFzEioW7X0aAf6zzv5fje8amTPz55dg81I+fMW2Wuvb1YixTCwXr
iY/ce1HDARZvVOUlbzPmeD/LYIihKCTTFzzd652A7AUFC/1Bg1kHiLc/4lhK1OEfKl7wHmD6IH9q
5nLF3s8y5iaYzWAwUfpLpa2U1KRgu5isOMZrPKx2/TCPw4UCbqIFyhuETelgSjQre22exeoJoRpW
DtoLlat8oXX9PVIvR8pgQ/XzI3V4yB/az87U8rLXMyV/QW0GOM/3jZf0to2C2LXImyDzKYuaiDj1
h4OlcnowmRZfpBZ+nCtZ5DAiP4cKvbGwsf6gk3qJpe9iraTQlOk0eYhA8RY+dFKylBYTq3YNrbw+
mXcBQzDRqwRkGS5mHbE+G/GDRHzoG39GtwZAyih5ndgPo9OrbGU3bN9SzPmio5lmPmFmILtwgvCS
qGo8waqp6w5tLGu+YxDugAdK0iVaTP5zUKn+ZlZnnRXENEhnUTVtmR27EL4E5TIsAQ/Ufl4aF9OA
wdjt3+P6PQLy8/38uG6e8sd6+m9pwAbg39NK/gdjS4+OeCLh5v1eV9OZ55qLFhtH+g0wbSkNNEgp
OOxq2B8x8P3RvOgLQxHSK9ETVBuaUX90XLlH78MgTRIT3cUnnfPP6Pl9GJwaCeMM9mDrLO4wypMb
Jdwlplpg/BgYUc7+c8m7OQlYWDLxKBjiUbowpu79qdcKbNfUfnATizN4ljBVM+/V3lcwPst1Erxt
mZlpPgpL22wq0bA3l3a6femspzjZpLmAQGYfYLq2BRUqi14sBqCSSiVkxUazZHdFXqiwRdAdW4cq
4zTbaOco2v49vy/nd1Ek/8X5xfyl+VrURRd8UuAur/1/jLmkUcpUUVuoTxzV12RufgE0gKQnJxzX
d8SRfpxi4wtLBJiu6N/8U/v+QdB9WTx8CLqSDEoTfi7Cqxzp96d40JqxUufaWmdmiPaNphu55fZR
MUkeOHCFQFsOah0cBD3ULTDvU6jsorIpD6Ellu2dHHTpsGOtDXwZUpGSPqgGokJnWh6q2hUAxfCm
aUWxsyMMUIddNucAI5tIGO8Z3psbrW60XVkE8rVBN7sNusIS3Tbou51QRIZbZLO0EkR1Z8wl5NC8
q6CC61pxroijdugmBTvCORVaFyPEx3DSmpUh1EjiBHX71OkJ161eZ31Mvc3HdCGGHuEzOOLxWMu9
0yxz9MoXE+/vjfhegHA+f34jDg8ATz5hgxi86vUu0OyxATE4REg38S+c6rfNHgUvVJB/lsQ/7oLx
RdYXmVnRQo+KudO7iA6nnJqWnRpxeKGX/Mld+DCNotGjpYQ0SIVEFfIiX/V2SUdAL4pcloZ12KEA
ZQV16BUvTViu9f1VZ3XZnZgA2MDtSvUrpwqk7loxh/HULyrF4awurqHNIYgKXCjLvNtGvWHxv3eJ
vOpkTWi8ss7MTTLUXi13TmY0J3Mmw9zGMqtccCJK50LhrQ5NN7Xjo68aZnkeJoJeeKlV1+YGHng+
nzKIxoI1LnO9ZAMFBtgok2p89rM2wWdYmeTOtBnNaDelJn5XEPwLjljU339+tjdFigDcf6uV5VWv
Z5tBqoXEGYpXxivn9fVs68w4KGethYf60tH9e7ZfYPRwOxDGYcEhId75b5znH7ErRp+Xih2NXGDx
f3C0X/S534R5GkKJbMKkhZvCFvpjz+YXgmLGSoIkfBQGq2poziLZuNRC9VmvNdOesfEp8sWb2Hio
fOlKV6CpM77r8cywFVN4nJneOsj0lc4AvhfjuT7wsq5iK5FnptO0SFNVTY1Rb46lxtypq0ZuDTeq
G/05iSX9bFAq3Z2bTIYL28Ohkbtx2A4S3NdU0y66pI3dJJhwI1bS46iussspw3Jb7s3s2PfD0fYr
K9noLcRQf44km1le78EeGVYxf+lWyYxqY9X+c5UxMhwCxN61uDtkxUghbyDAJZgSfEgBVz65s3vK
PFsP5+am0dj3KnBmAGZbZtyrGeDSAJJX2hvZvI/9GN/gpBCi6PJvjvheNf2y6t9/1qBShv97iZah
B8qTnPilBfygOsggGqUovFW/x/p/L9Gy0FvUo8RlVkiCAavx776CaSBzO67d0ri+8A//4BaZ7BPf
l/zo3+NFtWw/mD7yLj8US+Ys60Iuw6TCC3465ZzibD71oo6tZijDcjADbTXVDrg3E8bb5PcgMaJk
3mrFDL22ScOyLRwlkWt9Qp0N7i42lfi561P6dZ4167ZIhBLSX6gwIEGjaUSbrRcEV7eiTQgJzqPV
OCpMEPmxgBP14qsUhJ6FeFRfSiYIgXwdqeNXwdC+BUG5EjRA5VlnWxaozkyGASyzkjc6Wb0qRM33
SjWOvHpo0lXa+4fAjO7jKB6dKDIaVECUR+h6rmaNj3BAxIM6zgZYgvpMSXGARzoozh2xCnIUQAan
rBFDMaoFhqjLgP4iZcH7i7WyH1oLpVLy1labsKEkhLDmT4tZZkuDrJyKkhybm1qzoYSntqHoOIYv
Np34yufhSTaKvMMqmuCIVGA7KspTW021fqUPxa4AhbVXgjk+MZJWO8b2s/lby3FJkAhdOuaf57v9
Uz99ku14zWu2Qx4U6U2mjNKLM8xb0pjyRaJlZ5avqsuo8Y34A9tDNvXcwyUdLuNLbv7rKMmET8b/
m3ssiVxlGp4/uKhL6/0u2zHIojl/MXmW0STiOW8LubER8iSUg2zD+AC7msYuENcJ2uZBx6L8zRdz
+v2PvpUi/RASyPnLoxDCsGSmV2DP3j9KN1FQ9IVFBkbXjpW+3WWWvrOC+eL/7zHUwG8/kWl1Wud3
PGY0k13H5YIQd6Ln8M1+/Zzlm/n4zUk6zgPq4pL0H4dsSS4DYwRmvinvZnNF9dpfZ80RJJBfP+az
b+3tY5bZyhukpow2Xyv7ZrqBYYdwxqUG7aTpo998mOVL+dWH+fDbBFM3lb7FUwKWv+bUPYeW/j2R
o/T1uRLtB+sd2nB+/wUJS/UGg1z5WFg11URLYxnp5nYVOhEDIE8DCH3oVuhhjlfCXef49/p5s2td
5fF/+Q7/ffLHZCROuin4A0+ejBJhJVcVnwbhNx/v898J0A2229SQH7mXZidj2jBa6aadj2G8QWQE
mm9Kv/mdpGXI8N8f6vUxSM+9Pw7pFJglG4R0cx3nq9U62Cq77Fuxyg+/E9f+9POwCFkgQeYyWnz/
IOIitgq6mm7g89lpBD4tbJy8/c0v88EE/p9D8eYxH0aDWWT4Q5zxGIhdu0PvmmvB1lbjZbZJdtLN
OnRPVXt2Yt3uLuud/rU+YCD7PxyON+/gQwSsYBIYVsw76BA9Tko3oCW12uw31/jzH+7NY6i83t7j
LJPUMAMZuAFWeSxtkjVcei9wZFc8Ek5//YnUz87Im0eRjN4+qkirhcbFo2IlXmEn7GVV8puP81na
QDiU5ETpSRH6IV747KrUOecRoVJ6TSXY8TTbYFCBxP7OE355t/858fSKSCRJlKVLOn77aSyGX1Wb
z+lmcIpdfYKyzO20FW/638XzT7+1H8/5aEgXW2k64K6WblL1SRi/hf1vXIGlT2/Umwd8mB9qRRlZ
zXLU1QPyz+ibQnpZRU6y1vf5gNFXbAcrC72L3x3wzz4YuvyUEcD9F2rX+y+wn8waUuDEAc+N41qb
tgCgbn594j77aLIuyovFsslsankLb5JUMKlmp+Jbuqmrs0o2gIqMtqj+zgz2g+/E92Dx9jEfPomm
Acir+4GY5AkXiHS4kxe7gedvxG/WGqdgx/d+/bk+EU9n5vzmg30IT0M2q4nQ88GUk3pbn2g31Vnh
GF6yDvanszO5saffZK61Lu3WyZ3rw7xCQGhl/A8X+u27+HAFfE1isJXwuYX4ahlljdH1bz7nZ5fs
zRMWydS3P6BgNdJsZnxOmEYP3YM52dI3HMXSfedxt13TVW1ph5q5bKu32q5bpba5HZ3azvnUxUpx
xCPL/fVb+s2RUj9886rYtuaUjVz7QHCkKHRySNP9b2w+5KV6+hhc3n7uD8G/VmZRyA2+Wc1Wndyd
t/ouOJZORA+pY8/cK2vf9oTdsEdY3EUlcvPrz/jBzfE/B/oj18HvBSuVC7522amcjOgWu729Npxx
V9ueaJvI6TO+/E3slpYa4b8fGnKesrQehNX3P3ZXBOUIPZ78gAjYBMU3k/W1PgbrKkc4B+TOpTiG
u8hCBtIs/tGM/WkZ+PnvalAjKQwwMHp7//AGXXbNT/HRMqYbc4Ttl+b2hAz0r7/Zz4pz9C5fn/Ix
mMN/ENQw5yMu8hay3NstCMBQKs5miSmd//jrp/1XQI/S9s3jQI28uz6Ms62gXczBJkdfx9vYcQP3
eXL67X1h35oejIZVsavWJlPo+/aot+/Co9i+2hhb+ShxL6BL2t+QeHEb/gM6p85gN787ab/52j9a
9tSYAghywkmbfZ+ZHdJkjBPm8r5RvrZIcwzV9ZBii8tCdtq0XeaVWr2qxtNakL3ffFdLafDf0/fv
T4Ms1bvvqgdInZQNP83gJfdsZ3tbPPPXlmEne9WdVs1dfBw50g4xsvzruEmc7FAdtK+wNHp7WJ/b
2ppf06jshLXtDWuEaiOup/Nmo1xop+iYnrQOJIhfv+WfXJgfb3mJIm/SG+YIYiXLDTx/uz5J1mps
28etA0FT+M2TPiur3pyjjx6IUoq7WLDcTMk4/7+kXddu5EiQ/CIC9OaVnmy2l38hJM0Mvff8+gvq
9nYobk8XbhfCPAgCJllZWVlZaSJ6+VjSF6n5SCXCbb1hF/s/t/N7PZvrOmXbhgaNRWrvOi18BSWh
mxxaPX1oT8pOMHoj3CUnoCexaL1Xy/N9Zf5z9PD7WVEWS10pMxPDLG4SCGf3o0mZqdNp8gX8PYze
JJZvGkZ8Vk75udVmDTnsygs81vH19CATDPGL5uueIW5uGH/GLDqgIRBNPNUn5VjYvsbLWg/2U1u1
0kOgKefeBcnEQxVYsdrtKFLEuUC63T0Km9tHmJMhQ9sgIkJr/9B/oH05qFSwve7ZRpueSXRF7E2/
j7E+lErQlIahj++an+QGE/MSvJSgpOYo5GjEaD8jirK5KtWixF+gQw4higBDhPJ2BYw1ZcSg0ISr
FxhfUadRPm77edQEX8DU1aAXaU7YlNsqWX3j5mHRThMMBKBidsz/asaHqg0Mqd4pzAmYFuqSvqwb
ncGEdRy+DEpL4Dle7P4fFrESvnHjGTpFZC6GcGBIgnxkxwekLV9eeXckfG3RyvglYcJsVgfj56L4
1NDcA4hkHqsEnDYA4lEywcRQH+G0f73F7sncONwsQAmoQerargzGnIBFOWiVFdkpIDGNXudOucYf
xFrdP+Bmcuud/DC73KHCURTOtCloiALYFnDM8ATh2SfFIgSVfwVoK4WUAS4micPH9TrrNpU6XzI3
2ldW+Dwb6Rv47gudRFV6ew8wsSFgsgmDGZtd7oHLjfdxldpyf5ETzFAgKdRlNDACAPUMbr4x+7jv
8m4GI8CE+EvgAsix9niUzCc4dxDIdFYYM95UOwxgCqcJ0XRF2O3b+vwta7PZAYP25FIuYcKDqGcJ
uIQAoXB/OX/wI79lbK4PimNLhmuwHv+sgDaRV3tbsAHH5YLjyUtc8SE+MCCogOEUeuPI9o/78m8/
A1f63NwgTRTSYwwwITuRtehdYTXGLM7Fz9zmOy3xMoc+0pEaHO9LvXk1K+CLROkZVebtCymY4nFs
CgjtiicG466KUupJPqhJSszx3dzDlajNxcRUIxB4lj3EODAqVfwT1SRuAjoiBtAlUzzpKdsAChCm
ikI0klV+8zoWickU02PVhc79dd80XvTu4bmABj5UCL4bb0EBBCTg0AtP7epeC96GE+goAHDy36Rs
TCpjQDUQt+niFzGgHOcKjyA1QeUvGHVglz9GivzzvsTbN81qYRsrAhkan7J5jjhUibUGw0VAtOTZ
lym7ZPSpH/a06I31GyAsNUw8WPeFk5S6/H3l9UDtKgETtUhtpdWATlc3gFTSkheZxMl4+6iuFrn4
wpWgJlbmOK6g18rIveyQvZWvvSNJquxVeL+LJ8nyD82uOXFauwcsjXC6v86b6d2l8/Mv69nedzKX
Z0XfZbjOHVHr4RB+1kfuA+n/t8Hq9qrKubGahGC8UumH2LgCqm7HkIgTbx2npZcVo+VIgoH4+LsO
ijmM6L5B2MP4PMiyUm3OCQ7+ZmpvLWJjS0k+ptJQwyMGMUpBvJZU+yE7NDwg0QH39sLFmNkqDiVr
0txbMh9YyROZC0HVt6611TdsK3nxGDTxxCzRnfo225gw12dcqRhRtzqX1kKNOnAX+Th4ky6+1AfF
DZC6ydRJ41RFH9T7H3PzhbH+mI3dAUKvx4gjPqZzgTuuKuoHens1cNZVeqfX6mOoPnWqrugCwVt9
FZG2wc5a8OZyT7KkmjgWOwFEI310eCOwUyc6yBavAQNRa8G4p83GoINATqUMSZsQ4QAtRx+gh2on
OSRN3Mwgrj7oa65zdQJbAL3GLIMPKlRG1SmV1maTtyikMF8YtVdFPbKifWKl6qhRLq3XGqWX2BnS
d2y7V7+qb+vv2AQGYMFiowzMcTZjNlZ4BZSVBzxktzULQ1A/Qr1VkUh1gaaA/EXpJNDV53wAlVan
F3qrKScKShJNaj8/0ToY9vTwMJiAUtRy6wpQIrPTuBNH2ExuOTZ3NvMr7bLSHTdwfCoP+GYgOFyi
S/oQP0y/hCs+0OPPtS5akvqWm74D4uGjUmqqfxVcsEef4vfEAxeMyeqJWWrBkZhBuxUMrJW5vRT5
/i9lIl1mDcYHo47q5SfCR6RvAg3EhRrh1bzlhvrH9m0uSHAvDGI7w4xqfX8EWgWSsijHgQlc1IGj
jExs6MY/SUIJLmUb83Tl3PDg6Ult0S2ducBaR08ysz3IUQzMzjqd7gEP0cwN4fW+/7i986wgLG0T
iDu+kgirnR8BPMKAqh7xgEqpZqNmRn8cd4kBTAtebV3xBFJLb9bQro9EGquCbFiV9HNsBXpkgihC
7exOnXblPtfs+192s46HBim8ouWlQ0Pc3CZMA+RlFi8229+HGrcLEhVgGrXKfuZ75lSQLvCbJ2Al
bWNoeT6zA89EaGaQZj0ovbo45BQp4Pyqf//jnK2kbK6vuunlQogh5ektMyL1I9Yz7YQs28H/gcyp
qoqqcU21FE4JvJTaL6gX2o73SB4R4qIb52qJMlFFwtMMgfbGSQkJXkkphkbtFmFtpHaxXoLvtNTv
7+ENpX6TslHqPDPTyHeQkqOZMezBzTlUutA3hJiWJGZzZDu28RPQS6R2gwcm0LKMKvPQ0Um4apcL
bbN33xazeSzMPBVMgRKigM6BDh3T9wjjguVf4HThux/vBorwEmIXE78jcuEuXgeV9VDWNR1Af5PV
pGrm5qGa/ASUe3Gmnnmd9vhQDfeUqZwmB0na10KPUBfeJ6TPuJHOWq98aXZff0bLi03SgUrGfgMU
oe8kbrEH4dQx8CqvPgSmfKF+gGpED47pObgS3MCt5OE34ZsjMypZ+wVqbe+OuS4YwAs5JO8gFZFP
qWrY07Pyq9MB0XwsEWCT7kXiBmz2HJTnGAMrcF6HcwjIkxOjA4Hb6gINdTqzOhYn/oVxQcHpTZ52
Fo5gG3u8f4Ju5ZS+LX/zgBHKphLyALpHbAk4VxU9UM/FubK6c2p2hyTWZytzwNKjg1LN4D4FPTDb
c32pEf/sGCN0O7swZbM12qfAvP9pt5L1zDIXiVkdDJt9NdWtzQJjZnwZ0AFaE07SrtpDJagqzO8o
a5AK6zdecd8kbZRQiXXcZgyOXsT3AGZINaEetLZzA1DNFSmhVHnTm/xe1jZ5y0pMKZby1znnda76
HKSnIiGmX5ej+4+jvZKyud18oEYl+XLfoDcP0DrlYAwdiDqm4QqOdZ3jwj3NNR8RpzyK4EMCCohB
5b4TAc/4/i7eNvHVh2zi+IHGwZYY7OLEm8JnZCtH1gC46SNvsjtW59zSYA7cuXymjNlaQqDoOA6k
byCofPt4ZaacKRc+bnsfn8aHJf55aj/qU+lRiJXTpz5VeQTAkdm44Zug5QfGLQ+pEZiE64qkiy9f
tAqGuiBJRnnZFO6KgN0T1OoJ2NW/MlW4RjZ3YR+4c2uklQaE2OmEXjBe5U704f6GLGN09yzj6yNX
HzFXigx4OdgfxP+asWa0BzRPwXv/2Rk1HhHxnn7rUKtGVffA/wqeCrv0RiezUDkYVNQXRE+x+Ido
L73JASDM3cEcNdclRayEI/mVj1h9paAAyiwB0q/deuMHBjWefIs6JrZwGd30Ir3T5miV1g9S2LLc
NP84NQqaF5EdXGayNhcisP0GHxApkEp1mEqlggPFoNZ7fwduBONLOftvIRunL6dC3dbL0qo0v2bT
BPrLASjvXVvpDCaeQGNPPU0t9b9kwn8s199qUcBU5TLTDtngmtscRBncb0CQERPbz4vXpB7cNB72
bNzDnY5HQfL3wLO6MHNoiiGaYSq04wegGWeG4jWTJMD8ceCNkEn9KrdOJkbvl/GzpZN0ezLHJeMk
iABm5muTj3+AvWLmn///6l6L2ISic8D1cZBC3RhKU6PmxPeggZhlXQmDxwrKlzEof1/iracFVP17
VRvni3HLCOAUMKPJon8VqM1UbjZqKSYv1ekaEcInggq5zfrAVT0i3wphGFf6DNPxGs7gtRFKUmcx
kA3+eThWq+I2q5qYVJ4FAJfa9Ln2OitQR7s8jtdZnb3cFHsjf/6JHlZ9+Gh24x7EgU8suqpyA5iO
FLEz8pYTW3/LopSVe2AynsLUBxbNC+p0CN4c7u1TSVWBVMe/GYSsBW0Oq0QHGSOCYcFmkde12x+y
06KjpzbmN3AbEMzmlvdZy1ocx2pRdBcENN3jMHDwdCjkzTr37DutKoSakR4KPd8PHwSRBOPZJrWU
LJCoscLy9rMu+Wp0KI+9O2u+iXGXWh2OYqGHj4RrkLDMbUOYUAUy13eQKUetJhW/ioDQoHnznl0p
cguKDNyzjlOWyFE5ilrzMwq0UM95R3ZEvTZGK9yHb8UuM7XgxO9yK3tGun4kJcyX07C9StbfsHG3
KQJaZBfwDWhvZHXUC3/Az7vlTj5GHn8s7cwSGV3+SK3owFwnQHge2kfS++LWTbP6BmkT1wZJx4UF
B4PKGORTsr2idJrYOhFvZeJHG77cNyaS2gGU981+/Uyk26mAg2CK1I3i5LkH5ZmQi+grFlyGK812
iMHISDsjyHsENrA6qQflc/YUAksC8+mW2PNOluUWLgqtBP1kVHZW2w21KkQ9Tzhty8G9sz/b4jEm
lwEZIfiJPci0Ns2nChSOfTFqAfV4Xy23qpzr22BbNQ4D0KSUCew9fGBQoHb9c+2E19IWztE+39WV
Fh1JcQzBVS/INmtPkjdZG2UpdkJRPlvBHStvBlEQiNhkhliUIRznLy6rlddKCrosZvDu2UiHG/0O
dSm9f+WuDH5jbF7l1VP/K9ijeF0asHotects4aN4TPbgylZBlveYP7K7K0hzlhTgfnwZTclb+oli
NzJJB+LW6Mq3vdgEeGzfzBW1JFkoG2aVPUVoTLoke/8KeiP/2OisM9q+17202oSiLeEdQri0tnkO
hWMLAW2qMLnZLoAvCDelUs2ezo+MAHKoBqOApLaMm+mNlQv4Gu9c7U5Z+IFSLZc23vfnyR315EDj
/YXO7mPmUHsKaWdez+1ZW1qAix2pReNW/vebwjf356QEeZsvlrh7qVSwkulAmlRfostgiG7uoByg
Hp3T8+fPWT29Um7lGJjr0dJ3X6V1Vr0+EY4i4bqTNw6RLiZJ7GkkvGJ2PAzspLG4DRIjEjS+pU3g
3QFGGtURijYVzEuDDdFAftNiqhD98PF//ZiNu+TrZlQCETdE46K9g0abafRcPwYHYGH6D01njdp8
KDzKIeiAcClsW1z7zm9HUYbY2Nk/hMduad38zB4x/+rjJw20eF9cqVN1jMz7kr+GB+643G3rqiRS
xYziFVqEXhj9Iy11wPxGhvzO7OojoNLtykqcHF3a/E60pXdZHT9EvXXDCzJjF4zd11b5aIuH4SM4
cg+ET7uVglwdk20vKxAx+7yV8WmDZh7hoVLnbd4pF3ZQI+xDaNvXcP8Dhc5sl2vvFfp7X2OD8sBC
QriVFprXe9eSsoQVq/MqlhzC+Qwf0qVq7TTWaIPNE/3H/hm1dqM9xldUQt30WOx5kI0dikfMnfSq
4iZonjmlb53W2D16+nRwz41o/8x0TPzb95W1BcNbSljrM71tbuWSgOXLJaUD7swHmUmdMlZUaRAP
oClUR2Cat4y7sL6CHAJoeM/oYNTr0br/EQQrVpZbaaWnmp7jPBOgp8bNftEu4KAxJP2SE6Tc6i35
ttTNO2Pue7Gml0iS8R0ZLlsS3LzfCaDNkMXQkqpXlu50kNQhhw3iatJDkrTIxVhWi2T9GnARNBZJ
sU+jHnTgR6icOXnikue8JZxOUpiyDCqvhU2UGDXl8qTijvIvyQb94W46hLkKUMxK7c/FD3on6Pc3
8Va7xTf1LgpYLdAHt0ohTrgRQRjngqoI6N4gYXjk1cZD0+bH5Ik7BR27BAO+1VvwTewmNsf4fMA3
NZb6QmuN2rwVFui1d+D/e0/2vKBNww7tQ173DGb1Y3wUTOWKsEkatM5OH5tMjXesTfgkgva57Tio
JJZCgLt6qZDTqfrWzWp1RinE81UeJAcPYMvdVSSZN58oDMCuF1RLYDxsjLuuikaeamhf3De/hsP0
mO0jq/41eKCLfM4JYfCylf9w/ithG/Nq6zYAJxSEJU8gIRRBOaVp07UgTSXcNqmVnOU7VibVUxXb
tzSQU/y35le0E2xuxzwXKKOgjKFNH7KZ6KQC1s2oYiVyY05VrQC+IYfINuJViUX3gLgrmE/CWVkU
dEeB29tTLkSuCgB1a6PTQ51NRs/s5hy8lc/0tTdA4GBk1wymsgsJ9YrbKZDfy9vejVLJZSnAvDFU
+8T1WmjWO+DQsGrt5o+kd8ttf7uStXHrk0+nAUayE7v36ofkHBi8M55rg/XoHegAJMK1fzMgX0nb
bNw8Vj0P3pkEGa3SS0YtsgS3QKVLcv7T3gFh/rtRhoxY82UJC+lcNOR/Auvbrh7542QWjmS9Rlbl
gJLkROxuWZ55fzYZoEZ+F+vLdCE0LHbOL7WkPgWu+KO2wYI5Pg3PIKckFROXzbknbnPEG6lCwa7A
KqXhygQCEJ//VTVJ+HvH0FTyfUUS2yUleAyxY1rr+KhNR4cEVRLUqY+yN1udDkKH0cBZODI/wjc0
BHjDTrzc381bvZjM6iO+DszKxXBMCI7zER8xH6ljcAnNzEs/ArexgA/lYDALb6q2VVuD9xBGfzCk
wbtbLUTf5G8esUyPQceCh3y+1ND0gHIoHivjCfydVrvrzuOFPdKAsPdKcN44IqF+dN+PAwn8+w6U
dNxOVAmbylNmT0WZDixzC3mUHx09H3ku8Mq6JOTS7vtX8cvlr/QNEy6Kalo8n3IMixcJNIJD/J9c
AXCevy8LiEP+yCxOrpP0tDI6sz1wkxqrlJM93zef+04HQH7fJY0Cig5hidXM10wtH/Jj+iy/tNa/
Sjb8PinbykpKSWMfVhCDQoCoMSpicfmhd7Nj+O+iuN+iFmCc9ZUbB6B04sE/Ydemfx7xqG/N3uON
CyiQejznwE4RXoiROUGNX2XOlVF0rfzXpYt2z0n9YLzByJ6jd/qXYAsG+L8eZL1QVBkQA6x+fwMJ
FyKAUL6vV0qpoYoZ2EpjLNQ0etpYrANeB0bW6YfWui+NYPz8JpUnxjGYdTkot8MEW1irU9TpYNIk
vDtJPm3boSkPoI4XlxhGMttjdOb1yuI8MP+aD5if7hxwinmtJejpPnjpX++v8PZ78rf98Bt/FhYA
fIGrx4lQ1NpjrWzHeODT6DXZLDItfKqfSoJSSS50gaFdm2ydTWLH9NhC8Q0VpOIJNG99oXJeY+az
Vh6GQhXcZYxXcAeHFOTc6tJb++9tN2ariCXGUHE0i6fOyixZZ0+ZVRqzlu/AXACSBHv0AreucZP1
bleoNRolFBtsMWhYMAc70f0LdQJO2v1tuJ2eWW3D5rXJjNRIJf1iaYAKPCjX0hn2QBjnNMFobf9U
274efvS271QuqFwaU9S53WgDhPNSm+wzRnbN8lKCuVynbPYS/ovBkm9K2wQXTI55u56G0vh98d4f
g339PhHuANJR2/gxqeilDrCOiU1xHs8MKiXvhPHlvpZvNdR/W8fG/QeJkvLsDC335mzG6By/Zq7v
TnhpznbmISd+YfaTWrrVsXNyQih/a2R3LVzYeC6qGIcwGrBCEPqdeU2uVeCE7TPPPw6nQusQygwn
YR+r7U+MCXJq7gFFR++tdv/vspC/jU3YuDVaLniW4nEAJcwUxCYmkdREAw2Pfql0N3QD8yzp9OHH
feXfzoavpG6ya+kMlLJx8XKiFTrBB9gPvfYlEdVkN58nk9G6Xu1M4HqeeU7lEVFyBpcT8ixfZfI7
UbKw8XZjDEwiMEPjkH/OL9EhRYQ2PLM2KnTVodsXHu0ICOMULb9KSNQLO1H7GPU2QjVYfi0PNLp5
z8kDC9RB+75yCBfqwqW1domjkDU1l+O7oviFVp6KHJzwB8H/GU4/6doTSUXa5bz+Uw08XDsYNUCB
sDHFFPlWPoDDAV+0YvUSSD9b4HL4DOhAWbfvJuP+6pavvydus7o+bmaOW9IPSn2euEM3Pd3//0nL
2bgnNscgfD9De0pj+JEm0CoQK/vMbWb9vqDbySvmb8VtETGA5dXQqNsvs+a9l7/mDvcwfrL7DwWJ
MxYZo/aXovmv1BOCEYc+5XaEnHoQqoqn/Ij32VUh3N6LU7yj2AX6em02icLUfOEv+zjTWpcAVGHK
DGZo9bCJtTQuz31BE1SwXET3RG4uqlrpmzFqoes51DEGPZ8lsLWSmr5J69r46aFlo5atIYQ6Cr4a
PyvnxhM09EMQtpOwmG11OO+7eZiWcgzQFlH09gb5NZNf6PLVD37ydYvBydeYfuOHfZs+sqnByG7j
22lm8/OL0l+AKxxlmTbXYGN/loA4RfdPPNosR8a8/51/yKv9bXbyRulNOk+KvyQLO4YCblGksfM7
6EpUpXSk7jIlnDqHdo82weEsMK9Z8gA3q/r+B+Ezbqc0fn/Gsm2rsH9K03pml733EZ/GwBz/KVyY
VA8+83O6J2ZIF1/8J0tTgK+zkYZZQDnrQyxa6Cs0IQD1mTkDjhbzV0DGepa5H81w4jqM3jEvPfs6
cqRhrz/Eqf+73OUDNlZYhmIRZ18ZnHN5Ui7+oHL2crBn4ApxYNbbKx5vo3JpyoRo8A8Pgr8lb9+P
fAtQHgzOYL817kXAYFhwKPDCmvXwpbDYY3oRgeASWMNn55HQlIiyN8FBmCHXycrY5ERlkCszGVoP
s33hhLOqOM1T6MT7pbesskO3PA/HxisITu12B99fThZ63zbJtlRVR9Hi1XK5OApBt6/HYl9T/p4t
JGtucyMbOS2hcitXehWTiuf7Zn67DLiSvwkSClniR1D94fWOcjljiuCFQO8iAPBBJKHFp7jDoyBG
otkIrhPGrIE/JxnxlXWUfW+hQhHoqas4NEY0G5N20K1mcIn6WBJs5A8Pmd82svH9s1QoTL+8GN6a
N9aoIwz3xVDHrvTQzmzLToJXTYqSZfykWADeQjtHbaLLQAdLUYTKqtleUsu+r7mv9/CdI/sVAq8c
RFGEfDKni+38GjDNwT9ke5BioCmFufrW7OEj2VpNVFbSh3dcUq+KCYhPvfAWgxI0+aVGM/hVxkRk
4oBu46Fx6Gt56BWN/yDOxt27YhYj27jUDp4McNT4VOraPY0OZ6aZxnhoTx9N+m3+jB8YfRm2bYGL
lznsiTbnQRf20wMao06jlSGb4z9IuzxXL8Zo8LRaPiqvPCHZSbTETWCD4SfRzwN8JN7HtCUeUAQI
9OapdVKzeJydyA3OvRYffOBfBZp/ZL0ExarmRdQnQcuQeLJ/Isttzqj063ml+gcwoxEykosPvLfj
GyedianfpQ1aTHB7ipjiRJ2yOvMLG5bcoXcSJKQB0S8TLoYtBO7QtM0oL+FeoYJpO1Ad1TI8sIX6
LywmZO6b9O3O7d/O4OsYrkw6EGWR776SFc0HhdHz/jL3DyM6iVOkfRVM8oHVQBSAwH6OUkz2xZ7f
HyoBXRPp4/0v+cP76e8Dv+01jiR0ljVLlnR3pPfFfvYA9mLIjqWJtrAYwbVEzwGU3qm5RSqiELZ5
234sYbUJM8DZKD53HPLJqgpBpcF4E4bdpSv465T6mp931v01/yHb93vNG1ecUnPUFQUCNGoI9Zm/
DpXXREfa95jyOS4uY8Sq1VAR8nFEqRvX2pX+jBYkXEBNoWgRDLmifjUAFqTPFW834TufXrqINJlA
uni/urlWlkbJxRRVy2iCr0x6mV1ymTK7XGfZQGWLx2L4BRxAlS9mlY4ylRZO/Iz0spM3DwX1c+Sv
ef8R5pTKJTVJHYTz9uWlVh9WUB3oSpaqQ+k1+Ba3QtekSxn5OxgD0NioFj+Ip+52Nuj3vm8cX0/R
jR8sGYrSQ4vgGXRQ711i1q5vDG5nZAJGZOjnmJChIQnd+DKxFOuCWko7QTurSBGqGWtX6A6+b9PL
xfJPjwk8ek5GHMVtE9g0VcWAahZwR5aMlfRel7F663dGJ5OydiRJ7PdwnR4TLqkoJJxC5BDCprDD
lDIyqXbRiPd+f1F/iNl+r2pzUEU+Ghh+kpbaYPqQVGqKxPwVYGfhjlKeMFS2I8hbDOCeFjdHlBUH
HsRFWFuFVn0zPgJI1W4eA5enMNg+a2C0dpVYbx8BaegQRN82k99LXf6+Og6NwlMlX0M0uw9/4MDh
JawmB0zV7+ZfowXe7d5KzIDwVCUqeBOvgOWsq/sQUgfADIaMiseeKx8FlzOUV4U0rnT7ofd7iZuT
UFG5wMQCxpXSgjaU3qWU5yQ7ROWZCgGmGj0HzKxVwBVs0lwjaHdJPd3Z2G1ussiyAiDSWGcZ6ukp
2CH634lHQVBTUGrShLP4B0//90KFzRHxuUQaA9xjoOPMnTrIHUBEPDU5UuzlyNth7/+oCvpzmHoz
zxT7Py51Y8NSi2YL4HLjmmEkIysA3xMOhTXIjJNx8iVvW7OjAL6SA58BmC/3hRPOj7BxsFFZCklO
4bzytep3ehxq7yHavaz7UpYV3NvMjR0p7IwROwnqjULGzKNEp3qCqRJ8nLAELqvD2JVgocooSAgi
bQI9jW/kiVowBG39oUr2t51sE6YjzQ1A04K6ypfCQD64fChcxh53GCSYtBqT2/uQgKJ4O+L6LXHz
DAcXZyEqS9cK3Wei6keiw/aTV/XsIR4rixY4S6zrz1Am8Yv8Idf0W/DmSDBcINbZcgBDZzbR2KpH
BmXImN0RkPaoAfOTaqReGYKZbCc/5xIlbD/FWvPkrQGObpa93LdDkvcUN0cNNCoc24nYv9AJgRfo
lub48Smcw0t9yAgjgbcncYD+/tcFL27uByEFUlE+L8fa2NEaMJMwZTS+KDbwFVIQ5aGsyeqUxX/y
TnwA0ICZn4HdRVjvct3eOXhbrtigioJ2XApdUWZ3wAgL9kjUBvvJG60lU+f/LEjDDkQVbz1KPwxD
E0HFFew15WymfhUAYD/Kz9OcqcNU6GKq4P1fmFlJClEJ3kzc+Bnwl44TxcELDJWmDGY4qSNmS/AU
JjkCgrvZzvH2czGLWYtFNoHZcLSRyUdAHYIylODWCAvaQriUuUIJ6CJBdmLHREBslp3pc0wIVkII
ZBYuwLXvLAuAA4RgrrY5MXjlJuolzmhnYnnzvjESTveWsUig5J4T+sUwlt6hIDHbkNfviyCtZHO8
KyliAn+JPoNK43+mwNQlUXWQ3KK0OdWRkvpNunQONYZs5Q9oAhHsSC20BGBs4rF/Go4gUmtIYS4h
GpI2UR83UAHtV1hYSh/48llBf7/Q79rBSlm3BLq172txRHo3/CHT8LcH244uSj6GyuIEa0X5RZeO
b72D8c10pwDprbZTnTpML8MDJgWdQK/3PuEpQTL9zY1eDELYgtAVIVnrBMuAfKoXdKIxzLGqr/fN
hnDHbiF4xkxq236pyDdo/UjUfJe+A9fPDK6kLBnhCGyHz2IW4J/j0j5cVAep98EOMBMilD9Utv/e
s20/eaLwXZQseSpwuwLoC5N+RggAqtlu9ktvZKt+dvqkP9Yahk8fQyMBWuEZj07tjFyw/ovkWkia
3dgt2/ZCG0rYxMbIELfj/uFRkT1ErEHCKiR45O1UmRKF48wxkFRgeokF4r4KWH6JOIp+/0IFVeR3
X+nnyRSBrBQBBDCCaC3bKSc0E9sg9QiBrk6/ECzzD8mg/9tOFOq/y8vHfs66GBbDWrnDGrPKHLKf
1T5DV3ZpY2wQr8yfAgK0+YQpjRMpbieK31yoIPYd22hp+BmMlNfmHZJOp/m5plWgAgOpLjsKi2dw
fI0zmofhgzLvH0yCBwJuxvflh2VMldFS3AAkykm6IhHm4vKQNUWPvUYTOdW3w4OoVzq4wSgrvpCe
obeAHtGs87f+vx6Oq3cFR+dDOvBQQBypiVvb8+4UaaMdWcCJshWTwZQson4zeeQwTN6q1XHet4+y
zTwB191orOJRPgmX2UWx8LmkVQa5YoCkUSqoFjpGG1+T46DljuLVFnp9SLv3h5z174/fvB24OfdH
cXmtZJhceqMumQa6G54FN4asLmiOmHZF33JjdM/3t43wnOa/JgxWWpN6DoM9HASzVvpQnDFBcwJU
qePvhB/3Jd2/8Pmv99pKUIPgiOe/eqliU+EvU6Xo7dT/N58K5qfvVigzis/0Iaxw0HpzMgSTUUMz
NFsVxD0qo/FqpgVuAPRRNOkZi2pZ1NV8bSHfa3VBRc+gBkxF0lcRXNG2I3sEIIYiLnWA1JvN0Tyi
0iedO9M3g0BbhqkcYE4tCMFA9HSLB3rXnRIcH1DCmRjnivfcCdCoyg+KFKrcv7dB5/hdWY0YM0mw
hMYRoNo6O7pk4DLT+VOFaTKQlTuR1tuTydokQgaS3I2npBSAF8g9TioygcHOdwJMVleEN91tw2ZB
ta2Aqk0Ut3O7ClOAlXmhhJaOIa9N74oJMAVNxpzwu3K6b9q3x3B+y9rOGs3ilFTJMsnxUj1RJuuC
p6FttODHuH+M32yCsJsHaSVs4yqYlBoTIYIw4Tj3aqgF5+4ywL3q5TV94j2OVycbTismBQi3Myor
wZvHR+JnI0UvMeasg7dGdXwW8PNUoAYg/9L4dN/tCEu9GZKsBC7HauUy2mlMMrH92sLukO2RrXV5
e9pVhHNAErN5JxRhlJfKktTzUQP9HEBsjNlYTqcyozLTgJAkImpxc+jSrp3ZZMahE6TewHj3Bx2E
50HuPVBUG3LAqOih+ZkX/S4qRi9iEq3peGsSGOe+GZGsaHMG6XBmxo7Boqd5P+eZNpaTOtDP94Xc
7sdZ7eAmKPCDPsMAO3ZwclE9uQh697zbo3F8Nz5P++lHhVFsXd6NPwlibwbvLC8xAngaBXqbKq1i
OYKH4TABQ1FmiPy+lGGym81tqrWiYV8Lkc0m7E4eR1VISuDQB7mN+G3HF8nr/U+5/SXyEpgIYCHc
tld0gNHnmgKlo3x+4rv/Ie1LmyTVkS3/yrP7nX4gAYKx1/2BLfbINXKpL1iuiH0VIH79nKjX05VF
xSQz/cxuXbOqyAxHwuVyufycsybAH31v4GIsJb8MzNxJrY1UHzM9BYnMPVCwySuR1/QFJFLfmzln
j39Up76YmblLqdqlZU8o17An8oDikLYt3+VuiQXoslP+Gsw8h6WtOsUhZmvggKiZBf54BLCs78dy
GTz8ZTAzr+SWNYZ2gTkjhz4wAnFb35jP/PWt9vJndZf8YAtOsPCO/mhIkJyqkYbJqyenn7waZC3H
SN+kS0XZiy+JGiqhTAUjnznbGWjdq3HCsKYZmGgZys31MYesU57d0whE2e0SBOJy1vrF4GxHKCXX
izrC8u7MdK91lWeMxa6dUKxNBqi5WdYuy6WnNxHQ4PaqtYd1rJnbzk7utIJDjjhrd1na/jv9LdTS
DdtkAGnPC6kJzUMuzktu6sKdpfMrzebbmpsPSiluk1R1m5K4Rq4vBPbLfG9f7M6WSDQMuj5yBHab
drrT6PyGNaNb8vY+rcizOqiohqibLAyvCWGZS5R2zTTuN329ljH1Uy3bkrh5tvRoB8HP+6TquaMm
+U0SFVPQ1bgmpRNE4EoQ6dNCc4zE5k7BmoVz3GUf+jV7s7Uxop28JA3WBmfxowz5utTzNR3ia6WR
kKgwrlsdVdrvF+TFIKkbFCK3hBpkXmuZUms0uKrBjUrROaYSBePwb+Hpv9iYxckpH7rIaAh2IhtQ
rTTcmOUqzT9Y/NxFo5/a1kKQuRDK7PMVhcEI2FzJ/Disxxhup2ELSlrDmYwHc9ha9lIk+3Pi8MWq
RU0VfQl/alXrijUotQoj0fAi0d+YIWx+/2rO0/J73P/dwmzaoKNiCqWCBT3pVkzpHdo2boh6TUTi
hRlbMjVbPzzRQ5ESmALR6DZL9aDpoKkEpNkwLuUlf76c30c122dUs49ttYTDSWMXacBGJ5s6WorG
f0Z9GAGV/5nTndn2HE1eVYIKaxSI+qbqNFMWdNOGTo0n6Ue8BMddsjV7TebA2t5uYavIoVAhpZMm
H1rzYvfClYW5cJy9UGrCyExKzyykGNwcksO4WsUhiIrX8obfH7r98EAf0x/jegL5UOrims5eiU11
GjY4gxgLZ60/49PZtsnOJBw63H62x2l0sKcpLc+9OOIRF627brIDmqngYRqSl862D7LiC/nkhfvB
343O9rk2rOMqV2BU+PFxyJyKeEbA3UlDsbY8ZA8atIBPxY/hqjvG1zpOQ+gxXpj0i0sdySxSWnYm
w52dhXhfZKYGBdF1WCNf1Q9WOC0s9QuKLRilRe1zroqJnd/pJvgXlcj43K1Yf/SvIPJVB4f5EGkK
n5sr1DLd+lAFzZ3qh8/8yDMfVzbVyaTrTgtQE9MWK3qXYg/ueaF4RphqzJtGlQn4s6xTknUl8vVU
Vwf0Ti9c2l2YVU1VLVWluHBUGZ3FHE1WVl+mVrI2M7nre360cA37b8wrloluMQMzC2T3+SG+HGOz
gkBDTdfRdb5V1g/FfnyOJYC79ao+gDDtqoL3QG0QKAUQaKEJPdmpr8UHAXpYrpewtBdOn5C//PIs
58j45VmmpCSxOZjJOv8kgyd89aAhOK2jjb0C4eJt+64vHK4vJNu/W5yFJgLsVR4XGH2GbmOX3dVQ
2xkOFUrC10CvZbcpGOw+kqWGUHIhTvw20FmIN3VlCjmhyXqnb/WT8RqtypW5KaGwCIrTVX0yHsf3
2iX3xXECdnBlbNjz0LoluOSAkzA7Z/39PnqhPI5psJgKCT0TXYRz7elSggw6ao1kLdSKu31Vbkke
Qki33OJfnypCM8+K1dPI6KGMpR+llpdEyS7r7D3roDZopihrM8qv6rKAnvK0VsMsCJGn2foSL8mF
3RGYT1U3TRtiqcb8xpybScvLmCS4+qp2Q9nsCmgix118+/2ULJiZA/MEqQbwXMMxxkS7LyQFPKOp
/USL/r97RDHzv4Yzv5iHVivjRQJPkFW+aUYAsLtxp2fDgqMvDWe2R0DvBOebBsPphOZI+STNN1Js
vp+yC0XN38cy2wU0tbGtoYYR6gy5r0/o6o2EK6D6+Nyv5ILPXh4RkljLsrAvzBMYXtpIYRSZrK1I
15xpCp1JBa6rsLOFKLxkaB4iLKNG0+2YrBUciZvsRimlI9nS+exCfnmGMv9rOLNYTxsWJnUynQOR
dcNP6WdVOqR2uvvRUw2n8uhVxx0LjXyucmOcuY6dijnltfVGkc00N0usahe3ni+PMwtQoqgkjUrM
bkqA8SC1S5XP771laVpnR7lJ03pDSTWsYwMtvto1rmACUi1M66Vh4NhmEkJtwsicBs8yWWzi9cHI
eKBnHLxcSHwutHGggEgtolELwkh0nvlYytBDiwITVfuAdBl7uqvRrLwb0dr2kG0rLzwW22JVvn4/
eZeyod/MznZtZvRJYurn93P8MZhueSx/VL5iOPTG9IYn4zhBrrd6aG6RawfhB0rH2YYc7Q0Fs1C8
8CwXsvvfHuX8or9s2hqkyM5dr8maAy6mC3DrUdXhBnBrIIYFVOj7kV8MMl8nfLYcmWgGoXAsFJaf
zFxx7A5I/wgq1O1JtSFkk75MFvia0oW6zSV3/Wp2tj6jqbYykCJhhwQpVS6fxnJniaVy6aI3zZZd
YYlUT9Xza9UBxkUkraybjO6j8IOQQxt9lKhJh9ZN16SO2t1V4rrAIadqF+Z4aayzpWkgU6xkqyZr
w0p2Va+7RMo9J9HClF5anATyn5bBTB1c1edepS+OU+oJoUMOx7EB7wI80rXkkszBxZF8MTE7jzVZ
U1PVPMfunno56s5d+YbK+0IQuBS7vw6E/D4QTdYopRSwkkWqGxLijRO4CrNtvbjDLk3ZbIdtzTZu
QlvACz9Vn0Iy8jW5Uo4AkX4qN1PrDLtksVHlz44xBLgvUziLNCNP0lh2GFybv/XVsz1BTTE2nKG+
6UCoy/VdHB0IOX2/yn/ePMwqO79ZPb/YL77RF2aRxHRIQOYnfHIYnOzJaP1p324zt/Kq924NYafk
OIFgRL8GJ3rjaluQIPvVYYlJgyzN+WzlJywsOyXCBPRBd89ip7hWbukqe9E3H2J0pqOyCoVTuca9
4hXb0G08ctxFV2WxsCjPS//PGbEMAqFrQATnW1kCFZiyMzuc00jpjwxtQowNqdOISnOwLQWGll/F
ovEXXsR5rf9hFoRNqo0jLoUf/P4icqPrklApcVLJID9K99U+uoVKerMuN+RK99ixFJ75HAYgLX4U
UAaJ3AH9pRvwq7ICZYZs1V4tJH4X38eXJ5qt6dikIRURnqihg6uJ1NPkQtZw8XhG9F9zPQvDVkYS
aiDQg5dAWXfPg8/QmAWGgk24VW5tP91Mx269GiMnvTf3BPzyjcuelbW2Se/yK7IQJi/HsF8PM4vG
fZZWQxbjxWf1RrfdySgcWrx8/5ov3JVglRuWRVC9wt3M/AA4tKaOFKpGouQb3BH+sKpXwym9SVdA
yoBQyEOX1kPnDtL73vDFl2mivAGbzEL2+7t7TVbeWgVHQNPrel0Cil8u7TKXymMa+WJiNn+TWbZ2
b2P+yEFfAWpon9VYjI2+avZnksUJ0lDC1Y76lXGb+5tVfN8xly3UBS++w1/PMMfoTayy40ximNCK
d2S66jqU6eIFt73ARoWX+MXKbB/KSpHVtoaRovV0AzBrQKRj+vrB2DMkhwftM70WXr1PjsCc3y0N
8ecY/ogUX6zPQnZCYq2qsx7FG9zV515quepx2JaQFWTQhSNPaQDE+cqCPKsX/9CO6Ajxh8qJsZYs
CEJPr3unutFOqhddi+AtdYFqcJRr5i053MX97MtjzvJHyNkTAs4ZpFbedMX39l3jadfaVe6Yh/Am
3EYv9D1ZTXem9O038YA0VoJ48CqDJrp8lm/6E1gYMle/yhg0mPPNWwSWL+hmxyiHfb8yLqbVJrRs
cU2omagw/r4yZB6a3LawItM29Ippd06Q1KpyCBSuWuv5e2PnZfbnu/tlbDYpppG0IjZgbDL2vfKu
Q7IZmXsnYhc8/043seB7e5eX/S97sz3VxrkPnLINDu9suI558W4U5UJh5fJB4csEzkJLb6HHSobY
JyqQtlrRJoy4yxriCKE7YAp2dHbPZexF6u33Y/u/BJxfg5sFHAidS1x8YXDKDnJBV90mf1AghmKe
4P1beTDWQ+HqkCbu1sPz1Dj9Q5Q4S01fCxP8c3K+5k91N+VNDC9vIvTXtx9DveAxlyPavwb5E73z
xQCzNa7nOTzGMF7b9s3WtxG4e7+fyYt59a83OO/+FKE5DmmKQeh667L6iid7G3zqBa5E/2eGZmm1
hkNXRlq8MVut/FiCKbJrXAFBl0IsNP4tTdv5vX2ZNqVnkVVWsKSPp5Ies+i+JQuBY+nVz9ZWGaIw
ZlWYtQhObmU86NvM+36+LijvnHeaX29/trYG3jdc7bHTNF55RNf/Vq7rNdbX4IAQHuVhx9yMLADR
AQis1uHCAluaw/n6ivIiZlMF4/qtyI4T6rPZQs516RLx6wB/fv7lPRm49B+JhHubpqdKn2xfwRi0
roEdnm7oyl6Ze4f+4Ld10K2yk/3+/fQuDHB+i0gqJdckNGrWefgo013SMWegC4644CU/Tz1fBkgL
nrbknPCNfF9pYLpv84VT8dIozp9/saDzXMYdgwXSn1Q+OAVPAhI9/BtT9eswMCfUNZSGosUAvlAQ
7rT6fSg1l/QL2dvl88AXK7PEKo2LlJtpgfhQOMggiz3EQwhoPhvP5K66Qm/2fvKyTbDRcCTYy3vI
gOnv+ejE+xjq36AQf21xbjx9P/SLe/aXh5oFrU4b01BSPBQ0kA5cJ35GzSAHxs9pNLquGN9Ug7b6
3uZFr/li8/z5l3cKUFzDR5Jjunvygrv3bVv3N9+buOg2X0zM3KYlOeHxea7rsHIYxx/U2ysQ1/7P
zMwzHjXqFcBqkV6VkcOJ7gqAGMre8r83s/SSZrEqtjsozhQwYyahz40fZFynHG+ogCot150IFD/f
G7yc9vyav3n7Qzr1hPAJFpnu5z1z0KLSHgxfhw52YjoJznf/TibwxeDshYnJpkLD3cW6CzunGeHt
YCvii+FkwfWM2QtLo4HFoDNAigqV0sZ0+NgvTd25cvBHFvxlJLOds+BWnzUdpo6nhdOnIENihtsI
4qqMeylT3L5HI0F43dd7US5Bjhf83phtqTIauXrmqkDbHZrW+Q1XhDcVC1snPQeFb4Y476LIK17z
NoaV5F7pUNY48369SdDRrcx364765abz+WNcO6NLtxpwDwAWrXE6eqnuQfmygbQZu0cXXOxlEf73
vev+JCT67uFm0UVUYM0MOR7uTFZe7vpAd6E16J9ZEXo/3Jen/Ga4BTGLI9HD07ie3LEHuZYb8Asf
esDootc4SE7qIiLkAoIC6c4vx5gj8EEjPXIu8WDRBFnaHmot/J6z1k2zt6bdtzg3jk+sTj2hoTe/
HRf8csHz5y2j0kRXRHX2fJI/9to9MX98P+8X02zLBKjxZ5l3zmBujYzHmoagnieQ+FJB06iFgZCF
A56mhaH87uSWjgKTpZtomGHEAF3R/PJeB8uXXVVYYVA2jmyxtYfesfol7Op5nf7yoz+szO/u21qA
427IENsbrXdjTQ2GuF+ruX2itI5BMsMWbtc1tGcv2Dx//mVnNM2644kFm3UGHi0ta0HvaeL4TNvH
2B5Btw7uDTeV5am1oFY/VU9WAuYt02q4WxT8zRSg4kulAc4YcmeHCXNFwa/ToX8dCwjYNWAjoXW9
oRKipnnd3okKHU7czLE9osfT0ysSbdoMzGWNlYPKqog+ASFYJ/0o13kHmsQSESUE4YeyS+1+eipy
IGp3rUkMfhgzTea72mh00+cT+cwkkmsXLeHoA6rT7jglwMIxQyggQ5E+0xr+GTdJfUMncypWpA0b
XxNDFrRg2HKM6syn2av2p8S9j+VppNvL3oycUpT7sgBK0Kp46UlhQGm6QYjVqaYHEiLCHp1AjRWl
9S4CQU0kpebUMb3Sxm7PU7IVssSNYqr6iUw2vMrqNevJvQ2mi9CetpDk2Qla7KIxerOs+iCsHxp5
GHP52jfjzTgmuLQwy10XW8dKrbZRUoDCsO6NDafZU9TzPmgqMKhb+So1SuJM/bBKSeNnKjurb7OV
qEun6A23CocHJbQdtFY6zKruuWrsamFqTictb+i5NxrpB6OVW1MNRRvybAq5T1RQ+1UJWuKMSDlW
Gfb8SU0AmSaGV+ujjwJl7pQ2kqqhnlxVEatJF7jm01YFAzdoEdMjr9TB43xCn5CiC79oU7/hIZCg
NrqzEl8zyCnmmXChw3uK6OSpGQbYJe1OodVJDN3o6Al0bEi7kYmC9q5K+5HlSepZnXqrouc7blDq
ydoY7zgFn7qu+yarNlnaYN7BBSyhZ0AtqGKIVc372OHqUw33tEzLy/WPNqJuGckrK0+v7fSUEagw
m9YmTj5t1M7Q4Bawc0uu3bpZ3DhZWKzsSFuBkMIbBDhhEm09pfaBWpU7mr3XyAaEDuYqLPODJlFa
p7hk4fzBBElfK4oATWw78OkFban8YOBVGrFZqXp/srveA0GZq4P+LKw+ozb2DZntKwvgxbwLGigw
oO8JtRcoQ/WQ1moVrzIP8RT7jB9HsBa1uEghheqbVHpKld9pplxBbd5NOTYbdi6/WwBegadKFWvc
03qp2e3qCQp3I9aJGq5NMWzMuAxGOGhscN9uyrsM/llLfVXRaCVBg+Mgd3Z4VTyOyNdN7Bb5lK6t
wthlYkKXIl6gMN1JHrKMAyVHA+yIaM8+VaJ2BpvuJgNfrx/qht2g1upPoeWkne6qiepLXMp0XVu5
BUk8SLOhraL/qEFy0IR56whufVKpbllRuW0C4ZhS3bCKOMh3/KmogynrfKglbCs7dNJWQsvZ9oa6
9dtRvtLGdjJz+CEj5tEYdKGlHqiyWeV6HCAKbbMs/CEVAjJLqHxMwlEt0xVd5aN/65CMqo+gGLT4
joJGx4gVO2Ua3VAdgyxu71ShvKoTu824stHb/KkrGp+S3lO0aiVIvT4zRLLcvDYt1e2n1ut7y62y
MijQoTckVpA3+bpQ7E2sFp7W79M88RqrdNLMuG0RPJTc2BWpviKISRp96jQW6D11EUpQsWX1KQLT
msrIFieZg6U/9T0ogNPEizRUsCEdWBcYkeg3XYHbrDrfCNz44OuYI6dqT5vO9hoxeSDRdGWbbQoD
vjA9FGnrqflwMGTqAMrjdZiuHnXlknlhzF29jr3SBBkt1Z0Yy7wW3C3RFm1URjBqxE3zM2m+FXAe
e1PE3C5LXMNIDlBqum3zIaDd6GUh96k8UR1w+YQf+jJ/LYUV2IWx0XL7ebCAJSVQgNDB0qrmDnr7
tmrY7ieTODka2Rpj3MRF5mmK/h532rpvxJpqY8B7+7YuMqi49w4BOXUkiM9EGGiRvTU5uGkVa4Wr
mk1n5WtSAWZuA4WegBYiQld3AmbpPHXzvPXGLguqkbhJUrh1tm+5cFmWPWb8PmxHT6aqV0GXpe7t
U84+7CJ8D+EpZa0C/3alkOY2aaWjxG8ix4nMZDoa755yuwkEM/fw9puyzL0sHrwsaa9SHASsqvai
aPDrGIk6+bQYd3ranwm+vaQJ3Vxr/DQZUOd9baGzqSp81YLQPh2xusDEPCkTyHBzl6JopaGCpTcF
whB4AFq2lWm85fLAgLa3m8+YG/s8v0qF7tpR7A3FY5redXW/VevQq7PSbbPUTVrqkOxJIG7bYbSa
jGpT89AjReVkQ3/Mks++fu3Vdl1G0Im2fqCK5vZ6GzC7OExa7kXYD+ImWkdZ43bNU1w/G5rwwoZt
C4uvEl11FbStp9GL0WdBLVSnLFXHzkxf42yvR1CW5JmHvuSAgfq4EplrpdMRDChuoryH2rUF8p+0
mwIRQ987alwa2l5Rlk7XIwzhNpkkoD8nny0NnY4CYA3V7HEY8Qd6tTE2ySk86eDfVfPkGt3YATFG
j4aQ2cOVlsWBJElPdWU6DQYVTlXhNLWyibPepxpSlzHeVAqWdd65emuvclUJ8lFzKWjq0lxd1zj2
KBU7Ic92Ob9prPaKlbipm9DRLjLhWLhsh/p1wO1rWZ1aBj0NWdUu1s02G9+A2FrJIg9yvXGTtH0c
NLlnI92m1eSBkN8dwDpBysmLW8VPxjgYKkBoC8vtU+FALHWdQinaMNsXtDIFuhy2hgxXsURdE1GF
pIDdq+We1/pHrvU+j4EmE36bKl6jW36LTEX0VwV4wMpKADFFNxQTLyICHiRQNZDJzemDyICn76Qb
ZpPDEnpQ+z4osS+XSuyM0UmU2qrpTX/owTWkmE5tCChnhyPYp86KeKnXIpnKwfsdN7mn150DugK0
IbUe1RVfk5PP8sGxIB4ATIyXm6815Gvt5jXPiAMQplNatacWtVfRZBVW70nIt9jx/TGHm45A76dZ
kMS4uKsfaUECk0z+xMHupeeOMAuvZhk2KajBK5afSeKYheVHCndzGyqOPZaCNgW18tIOw7pr5BZt
G7swGTZxCaFCo1tX2XvSvdLwdaqjdWEX66y1HBNtcm3TBZQP21ijV6MuD6DBVftjqbMV9FPdJu4c
o4R2cjc5vEbvuWZ6kwGCekRjrZ42pUH36dCsSgldBVvfl7jAA7VtXGAL6s7kGJiclPkyI3dM3Zs1
OibpdUPQwlDH8B0wbwzFRsu6reg/BXme0tgRKXDx9UujXYW82VAUS7ISWiaUeS3vN6oBzAEgzyIX
UBDmXqKbTlToXoJgJBNyG1uTMxI0cJPmSdb83tQfdePGxI1nJxI/qX+kFoaqH7QG3tzFbgi0X33u
2gnjVWTB9wjAv+TNrEenHWKwm5luMSSvSveDwFKM0wSpJlc3M4yRvEsCfa1KeiNpg1RVnSSDQHSU
Beb0HCrSbZXphca4RjXQjBiSjVm1K04PdvtcxZkbaZ+GEt4iLzUjNTinVV2brPpQ7Fg/3PN8DBqW
7gaKLKR8SgTboRsCSMnOsbBBx+XDpHUHK/8EQZvXd3Q1mpA8Miq3Y+AEaXkg68iF2IE/TF0CUgPy
3Gc2qBsy+0ZgXRbFcEUVFkx5dKyJsqMZceOk3cQmKNIV9c6oqAWqb3LXJfFBb7vn0LICo6uudT7e
UdavRyHuFF6lLiSQoChQQRI2gsjO+WpZ/xgIQHqAyQt9N3Xi2McJfuID7pjU+5F+yuTQRbXPgFHs
BvQpUrD3IeFRBWRBckixNtftWQfDaj0i6iDObyaauDwUe8DuQSPlg5DCTTXhlPXkjTjXCHEarHfa
Xo05cRCguMfr95JfU3SBtQyJgXbXUXOdU5A8JiXIM4zsujHotWKbThHG69rI75QexL2k8WLEb1ZY
Gy2xA31qNrVMrnDl61lwY1UH8wdqz6jfIOspTjLUvXIn3SHnq7wTGz1PNwoh63hMkXlDk5fE2M+M
a8Vs17VoPMVGiSe2A9WYrigrt1NaXMdK+axVic8Gfl2q+fVo56cCtPQQK7gBXfVd2Kan1laxZajK
So1wzojY1srNoBdi1ceoziApqjRyPO+xY19uKgOQhYIA6gdFcadHmoI84dAW1Oetuk6q0hdxeGPn
4bUdDs9xiH5tYRdXsjJ2ilZfh3n+IptipYaRr1XTRg9ZIMPBlzHIRuIJnFpaHLpDnx/GkmzaybgT
ug1Bd8X2+gENvqa60TH8tGqQR4zHxrD3aTq5pdK4soMEGILik1EUblYO/qAmfqNkfmfpPqGhl9ZQ
N8w7r9KM25JHOBzw1hsiI4irBqk7GIChodTjmO52BcEFcmP6EtiM0AYvj8QnRfPY1uQJB9HnpLGP
2PV2SqEEZV+sbS1NnSG2dSfFv6i8RrtYp++IoH4zaqtQRphxBuBxfCOm8cZKkRtbFTJR+7EeNDA8
tu0mHwHn6ir22oW5hZpukmAfR9pSTHw/RtHeGttbvQBoJGpOYY1fCtM80OvQcGKVYCMHZ55TjsZV
LM27SVr30hg2Bo4NEJT1BU5iKCVcAUR/xTVtCzrpc4trhj2/y1wkzesxyp90vd/oeryllfkQVbkr
DLyKqV31KSKCagfErF+mCYFI6cVO0vJgaDgMMAO9uCS/sXG2yRFaVJwq3K6HSlZO79TJfBuTREJa
iWOm2iADuatHRmS4zH4xGFLYsvYGpfEbqu5pFEInR15lrbqBdg0yg4xsWI48Woy8dsx+fEcDqfBw
YYwWjR6htL6totBvSwa9zCSI9dFVNcgWWKA6kEO9zbUIQSPcSaV4zKN+pVYNdsqk8K0YRB4JTmys
CtgAJ52GOOjrPCi1wh945Nk2GJlkfRwL5jC9OCUKEk2bml4ptM6JEgiOlnzTSP1qStTbcgjdOgmx
melXaYfdOE+tYzuJ+zJqKuQ85rWmpbdjep5f6kfIZBpDuGRUQU0/BDpB8SLWw+NUmrdVY+MkmFZ4
Z62roRuLkNqvkhxPFG+TtjhkVbcaC+lFWXJt8SaoCd8rAEo7XabvxxyaQqPWAgRSBND29adUOaod
EjWgjLHdcTCe1W21SkqJbaSi+OZwdLRJWeEhKxxLxLYum03E0KdrivI97+1t0dmA4UUTVlcabmvr
XFSAIKsXd2IL7O8jx15kFLIMGpRsaG/g+t7oC9fO65U1lduqiiw3Kyjq7ZV2E2X1QzxFG02Bd7LI
m9LmlQs1gGYFjs3NsOvzcG8iP5jQjKwzqAFz9XHI2vc4U28rrYS6YTbdjJl5VIpyX5g46nHi2ha6
cQcw6gpzDYLK+zRTwB8MDrS68zNbvQ5HgNtquWtH5aMDErZV5aYU8l6xwVM7hPeVpv4oS3mCGLiX
TH3AS1Qn1GGdGyDsZpM7FKafpADUh0Duc/Ea4rxVp+pKS423CmmfZSs4tWd3aW/ddrq1s1Pj1ipT
4aa4I2ekPSBL24RGsXAvM2sm/2cZlIFlykZhAxLHs4uZuhtSrp5r/SgMoWYNxIALFEnl2MdVkfsd
REBa5mQPpygo/Z8V5f98G/8Xesyv/7vW2v7jv/D3t7KSTRzxbvbXf9yXOf77r/Pv/Otnfv+Nf6w+
yuNL/tHOf+i338H3/tOu99K9/PYXv+jiTt6Ij0befrQi635+P57w/JP/rx/+x8fPb7mX1cff/3p5
B9oPhwCURN868tc/P9u8//0vADEpAJK4T/nPr1b++RPnYfz9r8NLE5fF5d/6eGm7v/+lWNrfTLTv
gtoZ9XYLEGUU+4eP//6I/M3AFkXQawsgkGmYsF+UTcf//hex/4a+X5NZNjqxofyto+Ldgm3g/JH1
N9uw2ZlSg5gUMk72X//n+X57T7/e238UIr8u46Jr8ds/L8x/1c4N3baIbus2qh6EacyctxlnzIzK
rNOidWlGdQb0Y2IXyOGsSfXSqBjyU6/T8SVXsS+jzJLHm7GPLYq1g3Q8KAVTnkMpwXZetQM4ijTw
C1KO6q9UNReUIIVHK6VwiSpXLLc9o2AfuT6db6wVoMUmft/X1FxFtMVbGtSiu5ZRE9/xyGIPKFeN
cGBpGgTnqUh5TG2IRhn19f9m70qb68Sx9i8ihYSQ0Ffgcncv8e4vlJ047Aixw69/HzKdjn3jsavn
/dpTNVNdnXFkNh2d82zpQL0p0oFS6Zk0Ki/ve7GesK+P8YgjioEmLipvwmlIvLgtVnPPMSYIb3mW
7VUufSjtdyzLmJeWBUrifD4kkeGyOl1lVofYjBbea3MPv0K9JKnG5aUtZkSUCWrh+pGXFqeYG8YD
q32zxdm2wzgybVR0gCIyO/JUodWvc4T5QSHjVmGIlOjZ3FaZgwFyWe4Mw7mtG+MpKtvOC8m4M2tx
nBxMFqvuYLWYBzXmoxUxT4nWNxuys024g4O7fBMPzh2rYIZmDmAim2h82uw2H4ofqg0D2jnngyNv
Fbz1WZPtezZc5GN+YcTdQ1RY68gcAl5bOKVPhbVBXahdESIEgCTaG0nySKfoJu+SQEHSjW3sjiTO
PuZTFdDC8IHyHFsNsY89tzuVVxIW6eQpw3FZ4xlg8NJf8xQxzt1UIRY1d/JVM0xixWvMN0JrvBUz
Eig7vUPw2tkcoydqes8E0RyM8fpWpvFTF80rVQ1+QkavVdFmxAg4VfYVxufUtXjh9ZZzoNwI7JJu
mBjXtsruMKJELtZ4jEu5r0S5ZQlO/m3OQezUxp6VbY+BWzI3xiGdHALuKY6iye3cYPV9umAiBfgA
YGsYaW2ssgJTxNgyrkhLEMHFNpSXgUjFyqbDXaEFupv4oS2jFbbYLSSz+7Yx3QKHUVdGJgpFCJZv
In6UCYTUfT55ZufcmohSREdyTqW8mmp5jgz0Z85HJFSReTOTuEcFHZY7znzbybehlKjG0XWM2aWT
m5ssyY9lnwo3tJuLwZIBzkD3COp+oPNQe1VibmzubGYM8yO72IROdK1yxAjpet8n7eVIy9gtHI53
asSAOTtvM9XiabADH+YlkbQ/jiPbpwJyMap3DpxkPKTHlF4viwveKhDgbVTqvkq8gZHLQRkZAKn5
qU0tG5nGLR7PvzXkPzVkiaf+oIYkT0Vi+E/fX/6sI8tP/qoj5hcCpINKAtU2/mnhgv+qI+YX2BIw
asJgDBYv5pLr9KuO2F9g9sEoygiTcFJYHNF+1RH7C6jGeF8EtIwm/pj+kzpyAinD5IkAt3PA6OeQ
tLKlXr1GQ5NBRlOecL2W9GCq+TCk6qbL4FU8Z19f3Z2/KtibiuUsx5jfFQvHHJsKGEJYcJpxGOOn
XjbAi4ZuIHGzrnWFAQWu16VT1awiB6lSQ/diFon0SE32BlUPKovv5n6KAtTBxA+VeihKRHFKzE+q
nqxYi7hXiyuxyiP7DOjo2RKk7hWJvZkT6zIbnOvOol+HRDx0CfihI1yJAQbGpldWWY9aAvaVZeW7
uSmRZuq0B0cUh5Fn3xMbVc4Ii7t4Vq1LigyJQ6Ex7HTRf614wlwU+dClM9sbjfVitaBXgJB6GVUG
tn2w3FwkxfrNSENX5XDLGgoug6ghd42g6wozw4LhFB+ZceJFIYUuEma6BrsdW/kQtskVUq9aNxsx
5JIDAByrEBg+Vd9GlTxGtp4CKwFGFI71TlkA50xM5QsHYtacX2HjL7yqRI0gbF9Fw7m2qxuz4I+i
UVB5x5he5ip54ml7LB3z2ib5M2CIWyfJrsIZI60pxBQ4DnPc1H4dtpIASFRf69HcEQoSXZTPGxb3
dG1pnFBhh94ChTRgRaWeMUeV8JjF/pjU9bkiAC5ag+HQgV/TyuU5NcZjHrIL0xn3U6Uua1tvSGtr
9IrJjo4YJMfYmay2AA1KRvmKIRDcFRkMwEV3QVEhPIqbQ+0yiC1+VQoLEWtFtlZxuHVkiG7Znu5q
0l2NzEE/Ft4aDVS02Sx3RJ81tQvIOijz6NJUzXEqxb1D6I7Z7Z0C3QuZWTB1rcve74nwnTQ8Z133
tWuKzptFchOHQ+CE9n0d4X01GlO5aTwbnkG7q34or9ERPEUswltsR7e1w7Y5bdEJz/POGKK9AWMF
jGCeqphth5re1EV0y2JVrK10xOBrmqag5dxaJSKOURuZibYkZWsDRpUYThqHAZZ8bpqOTn5MuIkh
JohVq64zr4wWYCt6ZeWGvNDPpMCA15myOuhbZR/7pnwCz8tydcgPJjhtLrhKesdpDdwoAw2hZNHG
6oS1nxpVYRI9AdGRlynNs0NiTtZB88RKfW3PpuOC2tD5tBGJ7+Qh/FqMjrvTwIv7httfjbqRwCvV
S4ypMCMZAgdHXnusy6tdnAOaMufmrDHgJ8VFfWynwX6cakAZo1TFw9jXDq5L2ncJUWsxY5Dfg6/J
qhbIVu2hp1yJekZHz21bfG8tWaRHsCYsPzSbIXqmBAZjX1PElezSTLHqWvTR6Jd9yLOrKRNpfqSy
lTDpZbTgD3Os2keVzY03wvQH7oY8ttDMWv2qSCtMzWatBObOssd5VRd+T7MS0F9XAcJJxmNP651d
DzHCZaCUq0P7rgdIVnb2WThGgUGtOMhwOKQDHddx0lCfE9TcKc7v0tiAJ3sHsofOxQ1Pc+2lMQ4G
ZVYZvp6Mq2HAYZIm2v+3q/vZ1S2Wbv+9IqMIZX/W4uVnftVigtIJfSRIHwKFF4Kd37WYfiEmWDQM
vkh/dWd/12Lni4VBCNo2+BoxQRda169aLL5wZkFvJwV0nrbt8H9Si4lcSKa/K6Rtm+hb0VDClIpD
aG2eRk3EaFaioVfWWs/xvdnZK8xR10NuYfib+2CfBEM/AeXJ03WToTTm87xOR7UuQ9NwB2ofAe76
dRNzcDn6IOmmG5ZMz9qKgqxiF4Spxziqj7M0Zsz+qjVB9tzQk51jmHehLjJA6Oy7qtSZY1QHIBaX
lbah3g0BOWDK08ONOOnAGB0Mvm2QwSsnYxfX8/lcxDdNDG+ZfsgPZlYGziTve8LvZ9u+1ipcM91v
UwPNoJkG5tigmNsw0+5wvu2MVvn1kEer0Umv2mjwZdb8UHV0Y8XdoQ+R/OVUco3150ucEhDyqZxN
1qc/COExWle6jooOQYgGcWF2BSct0QLngO8HyBWLGW3aWb7uq+0QF5e4+Z6BqBAfNQvDYm4gO3VC
eDYl+Q+rMxw/FByz0fBctYm47LPRR+ha5JkTTBvM6ALBXPulEXdzG2jB4FjzCg32gLgZ49BaNtwY
cdVlZdyXuX5gYbR3er0eu3FfOjxwWDmgvJiXCuopkxffk64wz3gFzgiYOSZmC6C+RORQtYOHEemm
n4BWzuwcQEcdxCxSXo35G+DwaUb1CVM3J+YDrHaP9ZQ+msNw1ZnRgNxXELEjVdy1rX0MkYWC7vuy
EsBRK3qnlJw22qr7BaBEDkWYEZDgs3uwZVu3JMULUc4BeF+2lRNasWRMb0oLSbJpqO+IDdOg1iy/
DvDY8lrWA8nuVLEyGnFZDxXiMltWdi9OmSOHXscR98CCEshjoDFCzLQIV2q0LmgLg5YgRJsJRfxo
F9aep928wjUapsdwdlwRQ4+hi/LToIB3NXA4wXofo4LbEdfvNpEDWFXLe0wxy0CKRgcsDo1NNrf8
zuHZeU/nBtiuJgDm8jBp5hUhadmDPMNJ5Y464tnOsct+fJiIjSSDdIqtHRzqwnltgp10b4ddgZbK
IJ39YhiDGDVQ4ML+K+T736GbABX6v2/P59nLy7dYPb+80zAtP/lrkza/wJbPgiWgTQGXYsv9vUmT
L5QwWLGDAOvAWMrBT/1qmP7cif/epDkGb44ENYjahGFfZf9kk4b98x+btENMnMd+jt/gM4rp3+uW
KQJhwzLscV73k41h+zzAcacPZQI3IMEaB3THFiOgEC+z+QCMtd+BIdRWBzkMGJA3UQtzi1g1BkzC
C8UMn0QtEzCwVsm+0fEqnzHiadP5Wk4AfWJpBj2ijrOhtJGyS89g3edLy/GtVEbuQAA/5pCZWuNw
QWKwH1RGX7qJZkDQqrMhsu6x7+5UaCIro00C0mZBzIfL0qwuHBlvC4QKsQrMHFGxZ50UgVHCumFU
xwE+QiKBdwItdhMHYoDZhutkvINtTIeQZwMk6rT3ssh6VHLexmx2LXs4MA6GIOgJ0ryeSsQz5Cxf
i3bc6AikUSu9tUV21+K0CnDovjDz207W15XQ0K2axrar6WXryMcEPAZhYanYnJB0W6zssWouiow9
0nkEHbDEmQvHeTStt3EFRkpu7VumLyZlHg3sIWwCsEMM82jSYi8GRYN0KhDbZyYvYEtgwxi9obFv
Bgs8uj6+6fS8b200DgNKXFajwOhNwrtgTqK1oPGeRxFyGU0LFrolZpwGNmt6ETXG1jJwTjcKBlAz
uaCh4UGu/73oalASje6HWix2GukA5khv5nnCwW/sVmk4zP4wRz8c3fR4ItOyl0pfc3ljg+ogsvG8
6mCgnk0TSBS2n/f8Ad3urldw0eDZs6QpWLRGtgNUeMOKcTuZFoZFWb2Ny2RP8NTAxG3qVWnps0QO
66rsfGMi0crIuu+qNA4jsZ5HjP8Gxi8BjYHQXKHOTB5S/3C8deofoG6s4zx56O0F4be/Yei2ZbHp
Kwun+0IBYzJqwxtVez/0HOyHELwj1sqgVA6oMLAdDlMQXRO8xk32o15oF0rv28xxx4ncABXd1B0o
C6PufdHwILSLr4ZZ+/kIYiJvmYsSv6M66Q51X4Eg2dug/ExnrQH0DTzZy1iCXZrSQ9HkX2WRo0wu
JKGeXOZSjC7F2SajsFnJR38Q1VPtgEHXZl+1RHKLyK4Mh/qTWSDAucWoFCnqWX82U/SbfQTeVhqk
nT5DB/wsY6dw4wkIXNugEaAzXdcxS92+Hy+NxnkcdAXe7zJMrbvzJEpiX5U5WKnw1tclsPoIxDjc
L8Of4aPb+n0yGbn77wH/Pwf8DyvI1QtAH5W/Uz+WSvC7fkjgNpgyMQEkRi7ShV8DN/IFdt7ClPj3
PwsI/uhX/XAwi5PwLQVyQwmRi//kr0O+84Vj0La41y1+Gwvc8w+AG+sdmxoOs2XBcdZnNrE4Vnpd
PwokjCvg0WIth6kDa0WYtxk1YjdiYBI/alOVfmEYsIDNvdqMCrfVPCKgSAPlp4PRrQQgm9qVGfd6
PQegwa/Q3KMvhrhAmRd1SzeRpXFUj74VzhPJYIIc5k9SPoKAt9b9sQJWgerhShxxEUvZrmjLfavT
+AqBMjSXdhrejSLcEjteW3a7i8sZM5YOUw6n3GjnzoxMlIFCXUgFz08hljkzZAgDAtNzE9b34FzM
iEtIM5DwwYCywuhHZJnBzFq/EMNNHwsfeKdvdNlOFWKVGOPegYAhwrFX2BUYiMrPiPCq4noCQTqt
xJZODWj6nVsL4U/tIaKhZ3L7htR3k0TccwtKi22X2wrbshu3OANnpp36TJf2etJU+3M37DFPurE7
81i3IENj03fpWDzGKryAa+tlibqR5c9pYzwTC6FlZQ//FBDWe+zJrAcsVADCH20XDJtHE0JRmUIA
UfKFxf9cJOyyUsqPgZI1iV4pO9qDI+U5bQHP829xzA7zDIDcbG+qotjqUboNQZi5lX0r2BgoPvu2
OSWerI3bJFSeI2Y/JeM5C+mlAkW0MzqXN9O2hKoCsw9XFyrImMxWJTG3IN6uS4JAkwq7FZ0xpYKB
yU+T6ILKx7FOF44H1CcC9BEERwNYmTNQlyp4QgHD9LiB84PxmCw0mAg2GjAnYhVoOgJneWdcTaBD
JJgCJVF4VgxFDWirvqzGeV+i5jbx99DkbgeoXakZ8DwLStu6oWN0kS9DvMp2DfpU4onOMLKsJ8ez
QMNktPFBPN02/YPTaL+mhYuXB9WBVYbXMDZtw9wO9GAGUraWP1rDEUbDz6kVrw2pLtI82gw4aFVI
3uCNXAHkx9Z90XIC+UgGr8yHMWG+ye8B727HDqM69oiENWgN4u92m3n5SFdlp48hxygPMg9MLtdC
GF8TLoKOW2At1vsqJSvHBgE1i0CKjjy7av2ZQhtdosX+rlEodXVZIWJ8GCcwWGuwZfB/cs6482hm
UAJq4Rb8Fj0WmLwEzcz4UuV7bUI7AyZetcUluInchOO1HMB2SL4jBT7okBGWgiBS57ci6UC15BhO
P0U4YQxMuhNamLZ4biMBkl9+JBrE6MreALVea+vCkt12yHqIhsZjVqI3zUwMr5nYxWkOUoy8ry15
jBV48GrazPWUu6SZ/HAAF7ZOKKjH3fdK8a3T8Ys+ip4mew6qoYd1V9eg6T/OdAdodNtMY9DH40Vu
Zpa7gLeTigW4f8XajkfwWhsM+HAIDOm1yORuzostM/LeTXscxvD/wiQuAsED4NYxGwflYoY4luDq
svAASSooJaCrGaZzSVT/lz/sv92Wg8bjv3dbF0/NN/XONAw/9KtQ0i8gKGDESuAXJpFpAPjpV6Gk
XwDWQGeITsdE+MXSg/0ulEz8VAdamFYhGAc/9btQAt8y8UFiho5KCnX+PyiUJ8jUwm8AwAXzYAck
B/MPtGhwxlYINYDfMHVuih6kzIJIvGhknb26L+8AU+8uBJoHpcv4T56aOCQUHMU6GSPI8y94E7tD
Tv0CEAIILR8v9J7iG6SN3yuddI6GqUZnzLBSgT4LmcheLgsct/sNHR1Q92WQh/Iq7LTpJRm46h+v
/tPn/NVw8T831AZgCMSRUpyA3p47hlB0bJxwQ223PfTbaJ9fFE9sPQcmjJ5m95tz3vjCW8szhBoe
6Hnp0qD+miMvVG7Bv7X9j3+dt2DgT/qKg/v992+z/PkrGeYyrstkjHsh+umyRYNj4xCTpcvh7++X
/p2Hu1zU6UVbCE7Af2B6D67O22UaYqmwqhadRlV7sA31aPmJKPdkHPDztto2YFwY13ITKOrbFWbe
ZEDAQJgn4plnxNPjZdEn25psHZJ/8qp+ttbJI0TG9kz7DGspw1qn/JngUMhyY2vLZvVpRu57T+j1
hZ08oSojs5ODIL6ZQJg2wS+MIffR+BI/fkLvXhM3KXYNDL/ZqQGSxbLKzhOQR7q0xXVp0x3Sagu4
aD/Z9GnC0e6TBd9zX3NAzvp7xZPP0J5JPQ5VEW2MpFmzGPhiFmFgyIpnu2m5lxTZi4PJBQEHOLGN
G4vnez4AOJ7FU1Kau8kKMa7sdyHnwTjivOhUvHj6+Ka8tyfZmDFZ4JehWQCu8ObrqOMyK2gW41sd
lB+liceRPtbW3/P8+eOF3vPPga3r75WWx/PqO6xmaliMG8YaIoGV8W38hv9F7mnswUjhRkDJe+wC
jKXsH7Z3AwdHsfp4ffRpf3yfr5dfEJFXy4M3o7oee/oGzNFA2QIw6zbB0TRdZMedgFnwpz6pJyDL
fz7Y31csUcBeLxm2XdVFMe6tJC6Ej6CQHffUe4Zx/rYVS9ruPcbB98S7KV82H1/se0+Vg/0ARgcG
iPZpsNZYaq2ARUYb1h0ScLoAZa7QrUKq81mA6bsrLYwTwagDp8iT94eSMMlEuTCycCQd7ApWhvaq
BuAdmvH/8AQBj/291MkLlEGUkdkWvqaIXLOJgb0aVM0+7nMXSSduDVjp45v43hsjQJXFKBejeemc
bkvQB2dIDIs2TXIX6b2YSFCJe9ZegmQNncQnq71XPwTFQQiAHDqFn3acr95P3Y6OMFJ8HmV9XlVn
lfPPPeud13//yd2LYPnFqxF/PwkfwWpwE+QHi7/GRW9Ivm+oNz99L07KoOSgFuN+IZ8VV/L2nbfF
0EGbpuGSmodOujVszMgKmjf8WPzEScqfmIlYfCkP6C5BhghHBQmsdNL7RmvYAGhvZk4Xg5oAQIz0
SQwCYt7MaHFU2QSRlGBnQNSYgEWNRqTX+sIokoCaTcAZpGGO4XWN3po12zMcrJLMWIXVtFImcM2S
/aB1vZ3K5IfRNrdEt1uDJ1vlLG2KhOATAlCNyauIMLDkUMGaOwcSgQZitwhii3Ks93adPCaINHWL
DsO51NzrhEOXxres0fsumXzdtngt7SAFS6aDhhLUQL8b4Uk8wJgcvgzQ5B/ycRGzcb3RGb2KSX7U
kgeLMAp/2QVPIuUSbVtIeaxuw1qmsHcYAwKpTDx3QWeylcUwWtcQNOnuNs2/G6G10ROJA1nTRwFZ
ECRcuEXVMN1OMWQIkyTaBUD7ouHcb0DEoR3q9Wm1bhF0V/bOdzxgz5RYdgzn66UJm5t+PZfcVfF0
URpTkFbMNWZn30BWtKgR8hgGB1CmTKvMYTetY4En0szQb1cQ/oQrUsSILbNA97TPS4ccge95IE9A
s2DCLYDfdc14hv34rNOIKWiGDbNasKrkKiwgiOk7XyaQzSRo2xK5GqA/BbMIbgkSOo5yV8s2iHAf
5NzsSQlqh4PpSIprbsMyMGawbxNHYyKgdnDJBFFoPNDuDv9+ZavwrIGEUijYjrbNmjTRXqvmvErr
VV8Pl3gwFzbBn0kI4O3yWIxA/QRGB/D9bEpkR8XDKqrVhQWb6YZCk2uqx1mK5xhT3daukFdYZD9G
kC2g5Ashzsp2HUJRh3bYj+DTVEmNmZexLXkIlSl1gVSsZJX6hcb5anI2Tq1vUwWlxFD/1MrVJrg6
OUwXYmvrFIjR4/XaVIbfgXxczRxEWDTyUlyYHYf+Zlq1vbHOG+trmOCjxhv0ZOhkE9cZSF4kviiV
XkcygewC39IAlWcNjYymI5Q18YRmGnW/yCAfMwqpoQ8eVu3MbB9mAtuyk+MaGMYxLbjb62xbRJjq
Gei+QSGqCnpFZi7BbrJceKrv5mK6Spt5Z5fddR43QTI790VsOG4DpX5I6kNmzhCDWLu5S28rau6a
PAZcXUNb1G9V43wtwToF5xVvPMzbnKK+LECVQiiyrqCT0D3E+T/3+H979iV14u/2ZRE/vJElXD9N
uar/bNqXn/rVtFtfIEdwbMQb2tjH3zTt1heJ7hVB1QLt8tLZ/920W+YXy2QEJwHQWEwEB+E88Ktp
l1/AMsPfyZGN8pOF+k+a9j/KpcCvhvxFFBrsaCB7vq0zMpynfGwtGDAq80UNGF8Ow7dXt+Sdjm6p
729K2c8lFjYpKLUAiU8q5kBzo6qHCUuMGIJKAsZcgVSZ6RNX2neXYQQ3dIGO/0jcNRWUBp3AMjhT
fI8SssNw7wrOIuv/4WpeLXNyUCtzI6EwRYHtEPRGtcox260Pg5r/n8ssh6pXx5h6LPt+gAZ7Y1Ts
CK0dPIHSO5HL7cdX88exc3k2r67m5DQP946w1QImSh1FYqBTBb1lHplRwiYCQPgnR7PlQf/xIvxe
7DSVAjwnSPOSud7wEFYk7uxD+DumW5iWfHxRf45t3l6VRd/evEixXAwNbh5bgxfoXTD3LHVL77NG
+N03DnQCjM4IkKHTnDpGOfzjSVdvEOB1xdn4LW7KqyEqPplCfbLM6W1rq3AUCdg1QJT3QoGkBf3E
8MnH8+42YCMzF/NBgQbk5BvtnaYlIRQNm9Ts/eXkkRSrjx/KZyucvNC5SKmYRV0DyUXSwxLEAlj3
6uM13nvBOMGpfyHp2+Dov33uTHbNnGXYAib9TSzctBwp4CPsl8rnJn74H9ay4OyPZoBwIC1v12qz
WeUDUfVmzD0kZFHgHHB8yHzB/I8Xeu/GYagKco3ExApF4e1CEfheEWTD+GosiLBhvUC7+vbjJd57
wwC8QiKH/F+oGpc/f7XZtHzqZRqGwPM645KXdZBl/cUE36SPl/lzjoPvki/dLcBUDqXEyW5jT/Vo
k0RqGMQnZ/MBuZI4T6/U0So3cJK5AAyxUrGbH8UF/OseANl9vP47dxJZuaCigBEKKuepahOCpbGg
1YTLjEMv56lXWp+51S1XcLLFSdxAunRsgJ5PBwaQ5ZpWM87VJkbG2M48q5EXiilxUOxKTCvSO/KY
Xaf7/kwH04b/8y/szdonu14GXUWcwz9pEw5f8/TOhMHrx/fvndfkzQInr4lM7TgTPa02yjpOGkkI
FFbvxfX/sIgF8H6ha5l/+BgSAVDR4H2FQZqtvb5JNrqor3kS3328zjt7BSAUjLUBVFAcSk52PIOb
XSSyutpw50wNzz0kiFCSWdYuj75/vNI7rx0WQXStI9lCIzh56yVSfiBGy6qN4ODixqnXOZ8l2Lx3
Ma+WOLVlZK0idphiCfBnvQYRVrguILmHJnq0a+d/eA1eL3ayIXE0fISSFM6hPNtW03ctYFHUf5K4
8c7BBF8oDsfwQseutMipXm9JDDA2qaVUmxhmRmYK/nPVPpRcX7KYffLdvHdceLPWSWkio9a0KQ21
aVbqB7DnTPpqnZ8L2PtP7jxu//nr8PrKTl4Hbk2DUeZxtbHayKMwRqHhJ5/QHwM3vGmvVjh1WK8r
OUZNgxXiA85wzVN5RaMVxFDrjy/kvZcOmyiKBkZteLuXR/iqagAMrK1KOGpjWZ5T7NLQA0hvtYHz
WQTyzybkdFd9vdLJAzI0tSXsOtQGipEA7mjLf/GI6IX2jbUOCh+WgMi0nQPHi4LQ6z554Zdm649d
XSI0C9UDeXzQi7+90igCj1uMWB9xkYgq0qt4PWOs5Ev33NrDN9Elh/NsHwd8m63Nc5h+wQ4jyHHm
fApd6Mvc6VC7Nz/ALfQ/+9Xe21vAfwK+C0GiAznE29+sxxeCEyjBq5sBgtGgprPnj5/ye5s+cDIw
ezEC//OcE8ah08jZVBstcwwwLiti7BP5yRv72SLLZb56lcwxDtPCmNXG4b1b1dSFxRHUzp+NVd/9
MF5dy8ndSqKS0E7hWvwh29UPErzVCVY+n7Uf6Dnfe2EA2AIxAC4KjPrt9cAyp1IFb9SGtgJkiQ4T
Mmn6nGGcZ1RuUU63Y1PBOrYXHlV6gBFLdWBqXMH68zhW1WMYGo952QcDLA1ZZgWzWa6Q2LFSVrJp
ZXk9VIiSyiruVs43p+r3dlj4VhzD/ZQNd0473Hc9ebTB08hr575Tzi7r8dImFhLO5GZifJ1VVUDI
t9m5YSnD8qabTMk+yuRFCO6TQa6KGikDcKOr3I6E5AbMTlBCTFV9pWJI1n1NyLSpOZQXD20r28fc
SRKMLLOpWIOTAsoKzEkK+mBCNYAoubrYqRE6SaHmbyHoZNOY+lDcrTGu3dmVuJ07hC/aQ+9r+O5M
YT+4lmE1bq9wgIpsP5IwnoIqkG1Gmb4MTdJvEQSD82Ezuibwv8Liz8WM6WLXNVBqYmC8eO6MfXjf
x8VKglWaW/kaej94BlMPw9sV+nY3Tq470biiyPcq0WuL2KuE4o4WBQbXiBroaQA5BnQVxVlsZAFs
bDzwEXw9pKDAMljcFLdTqh2vGbvQJyZEPQYkPA60HlBQ+KKXXm+b8FopEx9SPewcIF7ZJbTj4JJv
iFa3dqOeuhkuixDBnUdQzqMrmmcXetbzcO42iTbX4KqeG6paCGw9+AZiZ8JQr7Lkror4C2wwAoZO
vShw05tu05MC7LF2bTngwMKsCKNvf5Kwk5ogwVXztqtgwDIKnA+gpbf1Gev7VTu238aWbVr4z01N
5WdJ4Q8ME/foFo5UbpwjaMdOfAkXqgn2QlMRuXXTHAwkLxiQ/8FNgYIXiZnIjRaWW4hF1WRtCwHd
UGH5CDO5G/Ebm8W8CWNrkybCbbla2815M0BoVwu0ToWPUei66G47mBXk9gQDMbpCgghYijBQ4vAJ
sgSkUdja6FMK3v2sYNelhrU5hKu+kXBkNraykBdVV66K4k6LzjXGaKUtuqvD7gdLrK9oazwhW3dQ
5X0Jc8U5mfZdU65JdJWS8C7kpj87Yp8n/Yp2FF8S5vkw6WAeSCbItpzAn45X3YTOOJlhmZysmAVO
1UIMw2jVd4xiK6bM08MAX9N4R2M4PfaLE3O5yzgg2G6+p9rZjcQ+FnXjgWHod7Dr7RGtmBLu8jQB
sfpeJ+zGhAXbRGnQWMfKwisD9TLRL22rg86xgaUYrhoq8NiGoBlU0CaZn8NEGIpTPxocLwbbPk6b
XYFPeIhjkPWgr4aGEgT9DfBz1zHOW/OGDxeOBk8b8twuJQ8ckilRGv6oS8g+7ZUACawtYaUHY094
Vh5DSA6mPIPkGiRSJ//apuh3O7KxIOSlzktRn+VDCm3vsAKOCuvX0o80cr9Kubb4RT4bbpec0+4+
gc1QRbPN6AxejX/OqueoARcC7hUwcYJxr3nI4e8xN9kmgykgPtpVT5XP66dJwMNvDP+PvTNZjhvJ
sugPNcowOKYtEECMZATnYQMjRRLzPOPr+yDLslKpVKWsure1KLOylCgwAoD78/fuPdeXImY9wBbL
3HIWDFGasTDoYOgx3FkR3/rUb5P8BSKWZ+g8OBbe0USlSW4esEpvKus+btH+o+bMMDUtK7lKeQjD
/ohdqrErp7M/M6PbmpHmyeOMmLYA6FD7Uyk7tf5e4NDIDESifP0hT7BSAr7MG0/XQy/k9zVA5lny
TTUj7O8YQkD3a6dDZdSewDGsC0i0La4NK7nO05KnO3LhoEMuAyJm4ZOazX1lXyQp2HSzyrHU9qwl
vq5Tc1PAJYyS+4GVJ2yGazWMTnMS7wHAOQn9fQPsaxCUe7TLOzWxPMZ7VzSPfVsu3WxRvQCmHT4y
FybdlnccMOCn1d4znnDsWIK1jDiZ1zocpRNsCndexHaW2y2uNhCM9S5bkPY2d0USub12G0tMypZs
V2EBhPxbAhMrQuz1qcH/pOPEC4ZOlzO9xXtcs49Jzqzqz1KMwFWChduHG+KgPAugiGTuIqDSsFW2
QOEga5ey4tPfYLVVD7UBHx8yV5Jgmgf8m9i3kH43Q6he1XFwl8v5yg89S2iQMz5eMWJWqCJszpK3
CJZJRfPNKT+1xnglzUMInxuM+lQhcIZuJs0HVX4OVQWs6+AaDMAkRdk0TIjGBadcwSOHzCuPiiNa
tp3IZacAA91UX7EERYbDG6pNNMaWK03pMVTgs2YHSeF2w4yk9fQwkOPQFcpWY1FWKh7e1bH5WfTm
I5C0914vnoXZ+w3USggPwDdBhky476rEjYHW61NDTCO3tON3w21Saeqpk/BdaJPbQB6YdOsEXsAZ
cptfgO97xahNEr5yw7X09JQOUGO75Foq37rpzlDiq6BIvY5RU6/eZ7zBNZHDJoso8B13Ej0T1YJ9
YjlKovZGe9qXORDWZj7N2bGYiSwovsIZ9xOXMLm1S5pgVGVgNqV+EnwqknopWzDU3bIr5dnvx8oP
52e9f1ogO8COnwyGyKwTCWiERWWpDlIP140r5NRb5g807CRZh/tmgPZdn9WxPKWN9KIBPQ4MrLPW
zcDKXOg9dnNwhkDrbOVL0u8ng50U0AIOxginkV7ju1pGdxnAQRtf/TjsF3UdlKr7QSw3CtpsFZB0
qOXHlUkph4bfB9ZhaDQgCRmm0diTVRnv5QDVeEQVAe3cghncVo4A6KsxNKW/71UMSGX5RSbuhZ66
F2TS9bRYrl199FMF4qE8FyYlQj448IhOGB48xaDJmQ5eXSs7uc3paJz1VjskurFTZekmbAevSPg2
agWotLiNu+jcYLaCq+QFUerNpeIGug5IlxGiyLyKW6mBeBpnnv2QAW66aXodxma7qbovXcj7xY68
pAfyixMeKygM3fxKCGyobAxJACJhBqOfaMB8VE6dkEntwp2kdKsYrLyIvtl52TyMs80qqXWcVuJP
eQIprlzUlFpqpSwmrgQRUFfnrVFbI2k78d5mv+uruwigf5m1jtABV4zha9RQbnbRXsUxv4Ko2i45
YZjiRU1SV81Ur1E7NyoB6g2SV+jJUyskogMSEIdE3GwQyO9yqzrGVKqiqHjBrDNKZcre1PQ1PT4E
Q1Y4SqLvU73e9mXpTuF0ssZ6X0sh8IdkuLS2dMiKbtsa2FDL0bwy8vwUtzn3XRv9lHxsBq7VRlpH
wXn1UMXARIl2MJuIaflZskevQV6e1PFJZh+LB3ZfuXNV46PrwNFm0TVaF1fhBWoNt5tSd2iuEz27
G9X5osH3bToWwzDxRVBjCQFYGq3Jwg3ubHDaSnDCl8hampEKax/hO/iKrD4JDo9GoWzKejWPFJtA
oHmfZ0+jUq2q/KKNrNxtiLmtPfRxujULqnX07swZvU5/zCNguyCUCsq0BU6VSmAEppFEvxFLdxwC
6nzTljZZEfi5vS8oq5tmoEhZqHkq+JnoPNgSyiB408IXJX+N830JEh2KhrYjs+00152TTZFP5AYU
rmPBVqxVV1PfYXKbD21QYlnIPEUfHRbexKm1wtNpo9QAE/SRpdgAp6wujaPiw0ZeeFQ1sU9t4dad
RPEdbaMl59HA4j0QCrykflZ9GQA/ArPah4m9jeral0cJJrm0SYBlF/lhQhoPZcAvrMZvwGC05Hk2
4UwqmHVeRLtp07e0stB4hie1q3zkMiw52AsSbMfd4A1Kh2+AeARsyHVI0d2wsMYTdXB8NPieOfxu
5PhRx+KIsmZfoK+bcAYE+HUsAQ9V1u8zebjCruxHI+YNMKdrSS+QwnDsoyJhx6ixRCZh6k8I9YtK
u5vCDiFZdKpj2e+lzzGEXymOc2qduqU9VfScegakgTiNAOlFmZGFE21rZbmz1Zcxbq7E1O8kvupB
NTZ5Rw1l4C5iVnhb4JczSTERaXSrqZdgoORbjCs8VC+6tNyOmL2Ro8K3aNF1mBszfCtUybMl9sAB
s/+cbPTsW82irEyPDdzICXGBDCIUfiQ7MOz3huiilAewuAs5QEdT60kzQdTgrjWt3ZpaCdDjZorl
LdydbRpBMZeT6y4sH6IKikoYOkvQuYncvVUZtUAweIIKtVrpxsHXlJI6PtVgwGC4pvVd3sZEUL9m
AXBl4BsykB6bHamOSZmZb2NeJX15MdaFQsPQMuubktOgqUmX3rJ3UIX9rAF0Zy1vAfAcySZOhXLS
rnktl2TTwYXPEyLQCSSeKxtOqekOZuONRZE6enLpGypGOMajRSG08kD7l1TAybPPU6Twjjwh0Di0
mFntAmNSYzoq+QOapu9HjZRdXnESta56w/gUA2KQ+SmdiWws5MugvKjpdU1tOkJLNYl8yO2FNAD9
oGGdsrKP9aMOlYpJ7CFP+FzVa2deZljiS/Nht+0KVN8EcPVHMKbT8DZOn30HQt3eSQSYJDLheExN
FOyzs214tQ47vVxAvRpeTidBHsTeGsVJWQZYRpkzy9/kgHE8L2CfXA3xY9gV24ZoACFTfJriXg2R
7bAzC+VNTput6DmdFpSv0oc2mt6wsu/D+drshouV6Y7eROCqT2V0o5WxC4F5K+uPJQmxilptIIhu
lyw+lV3t5WyfPYdPlW1pBLqeLstmIBsmTF/njMH6MuwwFcIM+oDXvqlM2HYUHlUNJGKg0NOsllOI
TEnzZqxREpb2iLLhCdzBlagzF7oCnH9gEOp7kkLJKwoWhtt6+lS69ZmX/QQWabF4ckX6Sf+NYsLX
pXoTsJZzBjrGZe8HwcDBvdkrC7vwkH9VRAbMlcYNo9RKpI1Fda1p6b5PIf9j05LpWuhHvexx3aib
xcy8htAGVUEohCOr6CTA86lvTec5v58yHkVsOpnB+Y4tnL7mo5x115WiPOpLcGcJhHCltlyXUbP7
nwJ/K3458jqmXGEHEZtOoUGdKZvfunz/1e9YdK3/vX7n7q15a8vu7a8KnvXnflfwrLYb2JdoZpnf
/JP69oftxlj1uhR8NknrjIP/peBRzX9ozNENC+goZzzOmX8oeOAbIBcQMmWlqYM50P4TBY+2NhO/
646DQREKBhHbtmnDGzhw/txsLOYlDvrJFlsQa76ZdtVCORVk03Ns6+03cJ3S4sXpUNAdHPN+eB66
rjHv4qroNoVoJe2eBuEGquS+gOSp3MiCPaMxxXgyjTp8CXqN9S0dCG5JChAsIZFLvpEmlPypoO6N
x+G5MxvhV3L4PHF4uekh7iND5+F+j0ABLMzVZvUVRdNLLEV0NfpWja9wxlqpB5VB3HaFbKWu3Td5
sQtT5fO/T/Zvzmub7vW/f7Lhj/Zt/JMHe/2x3x9s+R80PC2UZDIAXmzS/NHvDzYwXYthJc8vM1Lm
9fzR734y+x8QPTjP0tcWloZA+Y8HezVe0/CTZYs3xmAE/p882HRP//xkI/xn4ECmHXl2BCJjUPvz
kx2Ohga1qwNbm2T3MmCy7h4WTZDu+kmtA6hcYWuRitDUuWsldd0ieNWa6n4JxHQnQLuqbtAiTEbB
C+ZP69eYcr1NY3NnUE1e5IFz6Qqj20hJv5VCTk+uwmFyekqjef6kJy07adKs5aqq3AUWdEGIYIpr
DSAyTmUPRdCtS8KE36bQqkMaHngwzPvEFh9tIQ5tMx/I8dly1GOD6TCIUla3DcezZGnU5QquQjdf
LWndXsoKpG9voi6uouVzanPro5Aja5dHk+wEWtnf57kCUqgrAFB0Q+PKotNcu5OpQnUqEHtGZ0xv
NKLXCFFYnq3tQnya1Nffuj5s3QRPoZubCrEVgU63r6LqmoggmuADetGUJoeshr6UzHRbw7h6bayF
oL0xEEejnDkiTgb01CBjJCPJ+3Tst2psfMQVePJx4VWOk/dcgWg4mcM39LSSqxCSChJVoXUWVbWT
6wKglRR+JFP2AlyQ45AWUOyu7cmmnx2dNpDGz9dl/FWTEzvURuVW45K5Enh4x+hQHc9jH9LQ0+8i
tSZ4cGgOMaE6kwhvUgMPbEWtK4ZxR2P4UQ1BLtZTTg1CvJpTaRF9D8H5jtwOwpuepnD5NneEPsh1
ttEs+hpZIb9O0OcwkIeXttIODexooHO2N4n0ikMJBruKmmbKYOQjsXBJHjnMAw2DaOoe2wgQ7IyT
vhmtLdlye61W9rpErVgHbySZYGyPs03b40fOdQCl7AnqrmqDEZY9RjemQCRJjWFveXoriJaw6WPj
1y5X3zb+7cYuxl1V6YaTWjy01sTx2lr2tSwhOuepxEFvbdtFvc1wkNdA1kNJwweV4GVLVts5288x
n9r3aFWEoxDHnT7U/UYm7c414dq5y9g8wbvaCYNfRtGqcxRBtLHJXgEatQS4UMhqjbHaDyI9dhzU
wYLOoHXHjoAFc74KJUlsW1lONiAfu49qUK8W3P6SErhhW3CMosyrTJOwkEa+9Ejg97YsSW4aW1Bv
VxLBMkiBt4RQCkateUCAKjhSkm9nrWfXBubn2OsnJSZyRSZ/yTEa3kRNnw/jTCu/XIx/Duj/WwvZ
VAb/fsd4giOdZT/bMfix33cM8Q9uNhsCAqeVy6SxIv++Ywg2k9W0+cfa//uO8ZuYGUkPYmb9d3Py
H2JmeB+yCY9P0RBRIsP5DxzIf5mGI4nWFBDvYHFVprLrfvLdGFnHeGyOOcd4W/1ayAdM+l9Eu/9F
8vDDBX4otUok/YI8q35H+6XK4UvogGcwa2XNwhy5+mdR/m9dQOu/9l1hhzTpzx9n/W2++zgwMYBO
jVK3y/O7DmxHjrPFmD4l2/zFhX71vf24z1bGIkjloP0hXa983DR7/u5Juvzzd/7ez/SXC5hIeFSV
7dzUZF22fpiHl/S+I7Iaul2QdLB/QJkHEv7Iv7/IX76u3y7ClIBKXGCB/OEicjY3Q5uYqzHZ1cCk
WPrsBAo2KOvx7y/0l6dgvRA2P1ODBYMw4gc5CNEs3WJBrdr19l2znJKCketrBYG/KH7ltvzpZ+Jx
lm3kHSgKf/hMOboTaQnkbmcYkeQYdXLdauVTAFts0stfqch+iLVAC/fbB/vX1X4TSn33wIUG0TZj
vnS7CJhIlKjXfa/46yAQiZbtjFN8SHVzo3fqESrnwda6u3wadrUU3FsJoKwU1tQv7ulfKkB+I43y
iuIUEChj1T+/AibYZWENM/c0eE/VR0PfmeP27+/mz57N7y+x/vl3H9pezJEdhw8NY22Yho3aLpu/
v8LPbiLNH6AIyuol/VF3Kk3lMNWwXnaUYYx+ZDcP1JOVLDcmhdrfX+qnH+a7S62/yncfJmwmxWyK
uiOMtTq2Y+FNpfkLecvPPw3PI8IvtO8/2ueVcDJBBDHltIHvVI8LiF2DdBxSiP7+o/zsLeN08a/r
/HBfkNZYfZnyUZpxcuI1xIJaEIingot++c/Vhjxbf1xr/V2++9qGMlg6lVAM+k7NbZu1D/PITGNS
j8qcsGP+a1P9yVK4vrF/WtR5ooWy2mF1zl48En++VJ3FEH/CqN/x0VJQcN0hVpvbnMwPXHi+mpXg
TnOyMqXd31/3Z0/G99f94evMjTwbM4slWO40D8SnMy0P/5crgLc3ddSuf1HuduUcIgWwWT3S4hr8
M+01m375/+siPypdSwktRypxkbz6GEkp7ff/v3//h9szcwqMQ4t/fx0DByyxbfPy91f4+QOAo4uK
SBZwM//8AFQBicU4dtkL64g35y3h3JEySmPG7ZYjw1Vw8xE4rL+/6s9v/7+uKmhUff+Em5Wp5XrJ
VU01PVsDzcwg1H+1Wv9MScvD/cdVfliu5ahVy7nkIashT5BKqovFVSPmqdIXUqCxlX2rDbZtnv7C
lP3T71QFgKPTjVP4Un/4dNQvSmVY3U5C0GdIjAnMB13so5medww2aV/9yjDz0ytil4NFZeo0BX+4
i1TSQP319Tl5KB+lcBOXhIOBxXRl6aCqv1gKf3GxH/dlJtGhZKGv2Ennwd7hloj3xW2pOGTZp8Ev
rqXqP9tzhUaVT7yEjSHoh8VQ02n+6RlXa2SbjLsCvgZ8HetJAWDaVdIuYoYGedImwZwmvmZd5Uxk
xcKXTjvFUIPbsMv3q24LrQzl0cxjloSvY5pius1houJnhqs+52T7BKRKENWZ2I9ygQioL5xFI0VS
fwUq1XPb0vZGS55jVIh6fG5Le29gZxXDY6smjkGieaxy4s/caom2g8g3Kn1EHaN6UmuQKW9s+RgT
/FdcED4hAHGy8F4v7/tZuFW3LbNvegjFjQxZg1wbI1wO3RKT1UNijhpuhoEkUcaLwNcs9BJR+tE2
hKZKybmodej9jBFhHhv9ZS5ukvk8tMIJRx054uAZLTm0Wr6ZwfAJmHMaQo4Sqtts2sxwMaLFBHOj
J5g/oFQ6Ug1KQFe3MVEaqjlvCo30YSBlWfkxxe+dND0MBpnKwetI8mea8RszqGhBDsoZOFMNWN54
3abgA0H3dRDRTLlxA9EebLJmRlF5QEmQ6RmPIeOvsAuPo3pt81Zq6UexvE/RSaU7sgSfJd+PVifu
gG4FF7JrMmBMIMcyJJEZ72bWWTQx/YbFDbCsZ7bFPG04ddODxtehEeKE+gJbmrimG+2oY+HI6ej0
2qOAHZZ25KkuWOUZCWfGbSvGq4oGkZbtk0h1rPJWk0M0oTfWXBIvKG009SlIHhMbtwSyIDVb3CT+
SOX7dq42stWgrSxBdU4EdxAUVcibRv9cgueufzfyxq/yEdQZ8Tyatm2Uc4a8N7Cu1ep21XFk+pqE
PCOL7BwZzSnMAKSR/LcpcRdIUhXduVQer4bcIsvYhFEuu9wCRkb0nJguD1WxRSfC2PamHPVNM61x
VZFvlXe1Nu7rtUeuvYxw13WyRbu2c3J8dBOR3KV4wC/q5A18bgQ0U4ReRwVO8yLXD8twq2odM+Oz
ypslKfcU6ugiEVdMoyOmyiviGzv4GA3CZYfchdLgWMlnjNajbBREB6RcZHr5JHW/WgqUdbP7S62y
TjFsjUk8M4s/L6uRWhEEXbESoHKLW8ciJteLzou8nTzjGTxTGvxilyIX52drna5QGNH3VUyh/lCn
mEkqOtj+3W5RVYLS5eIuS28yekPoDpi5s59oj2Yh9sxptjrSMjEN/hCWPqlsoPyKsyXCB0TZmOwb
BnsZGEyhNtjzCJmSlH1cQYGGQWnboy9QQfajhqAFnzyw4kKGj2ETZPKR5RPzvn1ePsS03Vr12Uq1
LRkTOzpnSNTgeObKZoZTgYInRi2rQEMiZ4KJdWSI+2H4iBF2S0S8GUZ8JI8RsmJJvrwB+R0yWvDe
mPNeZMt1HrDlByXw3JfY+LJSyBbW4EyQB9I59aY2YSoCLjgkGlRMexTUWz1VNgFsfKV8QRLsZAm9
YHQpRXJlhbRD8zuDruIU32pzgGjtDnhHI6frR4ppLhvqVU9a+izuFRi4cFW9xmhPZs38hr+MUG76
DG1kd3TWDSRYyPFm5EelRfO3le+DOfJA5SIfLraoLpyBkBHObV4alLfgGJFS4EBIax8N3TelMW+y
pkSp2nr5srxq1rALWnOvoL8ewuG9rqN9a5hnI405PUiESy79IYQ2zGN/NvrolvAvVEblyCuSnJvA
4JVun+bOfM018KJ9tx05bzsgN6+iMLkiW+7GLMzXsk00h5htnkxJ2ks9gdsIPT0KB7COb6p1m8Wp
EyCrwSbqyFXo8nzSS7+KOGE0qBsX0idZtiSBXJVzIBZlOJrlWyGjgZpPOcjVsUo3BbKMFp1Oob3N
+Pk6cllHa6MHOplCKXYesTWWtyJ/m5TnVLtNCRZoO0+33ufsZiIZOg3J2muRgCusAaxOUf6gN3dG
cd2KIy1lfyg+pui5RJszMWDQoi89JE4P+Wo9o0GC/xhB4w8vlhYQJ3swAEGMzQzTJUZ3nmxFdRUs
jzbhJ6NylgU7teSVq7gl4RXWZb+b8t0SvcTds2ldAqJVcp0g2vIzb4uNFPbOIL8kYjwgHipIhScy
ACWzEwGRNQmYvZ6I8jFRLqy9B0u8CCQXGZ332Wa+HrgL2/tYfSvbRxnYxUCCfWHYW2WBUHEygpu0
H7zSQJ2E5KGPr1LI24ynnCz+mum2W1J7aEgVVGFnojtpmw+ia3da86kK6WjpITJ2zUvHszUxyll8
vWv5fmKSgoGonDv0gQN3ydLkrV08zuNuwCWtD19JcpevMqtq3+r2TtA4Xrq7NGRDVl4E0QXVJJw5
e5qTZyKVNLLNsZqh+n4kRGSrJNquSG9m7XHRHqQ1ySBvHMmwkamgX0a2SwWyTRCtW9E5CE+jbOxt
kOwDLr+WnmAbTBcL7agtE2nEElCp3aaMSwALzWYZ8qMUj+g+O2cQj718X097Jd9Zgez0+sUYAyTu
FD0GSB/sVFP0XkovAEHcjLc8QxRZI8RSEd72yU3Ta44ykxQ3z5RllCtGe4wt2Z01Gw4tVsBhQwLG
NkmTbUp7o4lypKXE5trwutOrQvYnJD2hzsdQ+8ewVN3KwgOAzKZvfM7MftcuD6vgDX3NNqnf1BRl
u3abJFfIL0PldY6Z2sJmXzGjNfjbKjq3E2AU1jxRbhJgWan8OoBI6bObha8mB0VqouxvqnPFgb6T
XlX1IYW/r2vpNhQoUEtkhKz4e3RwboqlqjhO7DzVcqlCyLf+GK2a3NxvUZIwcXHs+kODgTuUwAvI
Re/5xuPE1TseTQNtCSRmRZzn9jKbX2byDuwCWP/rWMheRpx9QuzzHHrG+MrsxZGa1LP6c0l1maXv
dUNOegMRA++BrS/bIlpOQ4NSstFcA/pP2KrbSGm2HZXsxG6YIULK1MIXSXVfdgc1YC9Rsp0c+lPx
ZqV31jSjWgOpG/IIrdEwneTI7XhcRt2fCL2XK22jDr1rmKXT56Mf1B94aFzIk32KFNisPaUdXVHd
ayR3KbrlsCbiPgl2fEOddcU6BujOz7BHzAlyLmw6du+JrtoOGhG1tuk1kIhVQq5I7d5mwW4crvsu
c8z5La8OrZb68wKwRnqw8/OiXCLrJhYtgS/TMevTKxn7Syijb/lmNh1a5DcVOu803kzdczHeZLx/
Tf0mVYNbY+jQ8/dBfezyJ6M9KBGJCy0WEqLUFFSOMsoe8lTKzj5iknIK3tW8OIxEXbdEfuLEcVii
UKJfYw8mHW50DKoqvWn8jmyZQdY2RaxS9yNINlS/G8hI0CRvbJOTgYhVgfCr5qj12fHZfpKGEjtz
dSPwo+DWhK6sR5cJWhCehGbELcMJPGVjDAtXjpBFxqex3Y4gyWKxxpAJd1jNUFjRZonzssT2XJZn
WctugqXYKMngN+JzgaWT8lYudYgl4U23L43O4kiMl6ae85RbnkdepB+DXGZy7Ga0cSOl9lr5OUnf
CBa6Q4vGuj5QV9TfAtT2Zn0lj/tW7Zn1bbQBi4p1WCb9UgXI/CKkU5pobgNK30TvvJB8gXp45O7C
bTpP40lvbiQOPSlBZ9bdOO2HPvdEP3DM+ojZHFUwVkRTkKuj+W1jHkzt1LNuFJJ1jWDUmZTT3D7W
i83j9qAMs5eXd/DOd+ZwsEcGcgzrAulSYOORjHcr/rJ527qBkkqRj5akX6Z0cBR260WeX4z82FLx
VPW1AXpq1ogqaH099LvIciTYV5H9uBBMP510XC42Xj85fE+nb20iO/AFIU6lHJHWmG230QfPjOwt
M+pNzfEiy4nDUdU7NS45nJTMZs9pww3j6+0CfbMqKIMGUXdIDF/qFspdu5x6Dhx6dIbUOrNPVKrp
zOa3dqBmkrRNDj3aim8G5NE16uBxZZUJba8Bwkj42/PyTKj82O8FosioIGuH/yiblzF8TvNvAw3Q
RCVG/lrlEY/aq2a8WYD2mfC/FWBPbWo+oPcn+N1Sn/UiOrZYw/q2BBmLW80eNzBknYE3rMLZpVOk
Kf5C7HiwZv7IOJ5YWhfcapyjyoUDhXajUjRACNtWXY5/sQUYhZEgeAJRKPLPML+KazL9TAew2cYk
6SlNo2sTeXSJN8IeZNhVAwLh4UoJUnKB+SBA7KygduV4cuaZW9EL1nqGuZaxMWQMrG25H3lZFutb
NYtrUWw6nmFL9irga/SArf6hzB7EIjhBDdsm+crD4EIx3udPqBbcJWZtni8dGYyi4m2SRjdNP/Rq
9Dv2sJGPpVhosOFX9WmJkbHZjCQOG/KDoqjUtRJ3F2lwsC9xrVGWbjtrcvp0YmDOp8ab0FuxJ7FM
liq5KfPkGrq8hXbky1V2zejAXSfcTbBwlhyfLXV4Elq1Xy1knfWpl19xtaYbOkLUbOk0RnUGeQPU
RVkCddezYbOzWAR8yF14Gmhftcq0iScIajr3UBfwfxMKuM8Iu9OkkPYoa7itvkKT1D79JRN3TX3H
9ezh1USsnieqbwwU5nPv2m3Odmzdxe1d0T/GtfmhQfNPy/4UgE5f0vgT+2SedG6qP+syH7MT+5rx
ysTf6mkkpNSGYr6vKMim+Uwt1wWX2kI2nLB5mGeFcnAF0OeGcuzq+yq/Ypl0NXtwRl3zFiLcFyUD
ZUm4H92JPEgIhDe8sPw0c/KYVROnZLVr2vtVdBnOu4kQ5KVpvS64JRDyEFvLLqmznZkmBPbtBe5A
A4dqUabHlv0pIoIFsNQ2LJ/CAEXpymzFIxQe5UUcRD0RTXzDxuqiv/BbtvZBWVsUmTsPs28zRW3r
d2PgaF9rPuuPVlXboGwOQgVX3hc+GpIsvB6Lhxlqm/WiLcbBGDp/HD+zuDnY1GNtablpT1gZToQh
UnfSdFlD/ILyA+WwVKLEwRs/RBFpPXTgKQSMAD9aubEQ8KBN24WZSdMGmeWIsUo2tsWSPaaD6Qcr
2pWHYyFIJePop/P/7fQK8KWnTbgljH2MLNUEaK8PT21/vQa1RADbbBY+CdWKjNUOpTLWJ0S8RnJu
1XYfDuW2NbHYyKfAoD6WMq8rTDfkr1vGtqTYavJLOLN4NPe59tah5jHV5MCxQJ7fqyg9DNK+pdoT
fb7tCdpCc9qXX7r9ySxxV7blJQiWUwUjrzgFwQPWsYNaSifRxV5hWo4sdmX9PtJ+GYPTlOLYVM6D
DNsv9/HG8hsQtjlNflhcTSblIukDcc+ObDzU5J6Z84Ol4PmoPqYWJK/w6+Kq5ocnu8HGhlgjfcxp
gWj1YSEFBrRhIMPYaDd6X9KV0jfy3LDxgRAxzzI1csthoiM7FL3OanFwBd6bfsF8qCs7g46cNJLa
Y6LMf1aU56Zs9sjXvDpr8SvJboAqJkiU+6V5COSZMiq6VLZFMBAvIsKaYrkrWQK66ITq5RGzsgeK
6tZQrxNRoG28KVH4JGnn2Lh3sZ1uqlgHMPnWTE+LuI7o/4UJtRmdyi43kEnavk2NkrbxJZr1rRZX
G7svyMIcD+TDI9DhTAyo0qAQ401tTdWVUnQ9eEhNmUgDjpARAet2/GJU1yuXWMtvhBUe6nBybONa
D04Slb7QPq2QykM1gPMnTkghihTYt1HLG21HfWv5zOeOep3ez63mSzFneB1QIxBAqVUclQ5haNfe
hEqoZ0Mk6I7CSn9JOWwH5X2GGaNolc2EqqqvEj8eHmsI6tNwl4vKDJjvTia1UzENN+MSVC9tnvfK
IQwGE9wR4CbpuGDiQvpfnaLWPjVL5SMUBblW3JP3upc1ssCXGjt/u+y0QYKuPWlHDeNFJkkXLOQb
IaGJitT2uo/sr6ZHJIU4vejwh2WZZxW5P7WrdzJ9z8KWtkJ6bSMiL2VzJybU1CmmWEv/UoxJ91TZ
eDIjVAuAkQsviTljTElx0+NvCmFcNqM4BPbag1ZQx47xCUHcvjXNHYqtozmIY5cvW1J9t2FrHxu7
38S6CdAresdadlgZj7Dmt9nQPRSUQxAod+Sd+KgEL3aGLI/yPZlj31aHi4qRyjRajOTRdW9qXqZY
xNXm3TbtzVuDrnQZjHddle1BIL0jnd3LUbnrh/ho4SjShu6z6LL7Qk85pi/XTZy/cnjYD9lylWQ2
1jHOIHg4RYwiV9I/8IyDL4r7g5LUBykocEuP+i7RlP9l78x228aSMPwqQd9L4L5czADjfevEjp04
yY3A2DJFkSIlLtqefr7SElsS25j0ITAcYPpi0D2Sj6jSqf2vv74w5fEFVO+nea84qQaD23xhn40j
965TuXcL3fqYz8yTaNSDF22ZWGdxntLH9x9YDsEcae8+qibM8ExYgzHvPSaZOTvWmfT/uggpxlal
fkdL+Zvvz+/t4eR6rKV3BmMR0aC4YUvKbTxbfh2G3ifWzH6xxnD3LIhsXdNhdHiAsxo643ODYerT
aABqJl6SKmOGbp3Ce4C2iIwrsudYuan/pzM2GWgpicXtjDVO+iT96c9nsHx0ElofRGeysvnRX07Z
xLIwj5e2hebGFtQIS/Lrke8nRyOG3E+0eTq8xHaS5g8o9Vt2eRst4u+wb36unOw6HcwvV022/yPH
fHpAv5rcByyYj0FSZukhhl7+agscs7u0vVmTStkdCsgVOGcLHHO6cE9Cr0CZGWCzD2j4DXDMh3EK
Sjq2sMMEZPPSBjgGpgxmIChZfAcgPdXp39oRqK+AJDulboel6pZA/MH08M8eBMq0qdSbmadfZPD1
zq61KP4+Y9vT1WIMm/p4RhGD9HUB3WM4tE6HZnWT9ezTiWF8nQ9c2kH2g+aPT9xk4J24hu2c5+PO
C6NbzOOUxl0vZfhz1JnO2Es6DUI3cs+Hs/zjjArMgtXLle8/GdWSEkdnwAIXCg6a982am1QVlriF
mKX2FFtHTAhHRKkAMclDZ73rZBRyha2rKsdhOv70ZtLLwUqYl34C/L5M44/kL5exObtZdgYgJ+bh
izWR9hMOEtbq+FTrZF+YEJQuUnTTSUcXAHndk9BOPmc9SaUm5os7i+/8mflSlmlgsXqZgu/yfrQw
HirWX0FkcZZ4kx/eYHHm5qPP1qwojjWbbBS6h9G0eoymIVBq73pk+hdaz/ppT+Z0xrR5f5ToV8nS
vCbduCoGzre0M2R8s+elx6QW3zvj4iIzOj96zuTRD6lisQDoo5szVFnh2HolI0CWk9yFefgI6Oxh
PKZt1Fn0bos4flyQWNKwoP031s81fxFROmDWcBRRLZ6mBdXLjO1F/iB9NNlj74Wja09npVFYlovF
47Jjw7VbhtzSG3NqQJw1pwzNsh89cyh4DvWOTUkNxuzONaSt0+H3InXi85wKgMfScIaEYCfOGLJ2
lra/vBikE0076RTxcnLs6A516/8bGyTLPAy6956xKQZRGtYbHP7y1eAIcIx5GNNeDze8IlVtaHeB
p2jwy7m8RazKZrYBq0KJmP4aNoX8kn99a3DohLFJBzJe2VP3W6tyMCv7rTXsjUuEKv8DLHIf2Da2
UvLzYWFcJBa71dgvnhynmXWmZ9WVMRtdJn41Oxnn8aUZh9VpUrEZPYvLLyP2H1+6qU6MRyP0KIp0
IP9xmR9Bef+NXcCfzMqhOuYuo0uXbOa0cFLqPS55TUhV6i6dWoD4WeBoTjSW8xpedT3Lw9mSKTzX
Ox97A6/4rpemOT8KJ4uEosPc1YvLeAiJyUKfza4mi3HypfCHH7WwIpyMyyGJsH2fQU91PDHYiUXJ
xAk/M+tunM2ymXOSwG9yN8wL54Vhb2wLzPFnsRelNM8oZqV2dpvLesp0RCVwGi0NgIa09GYUogtn
dspw+Pk0o25meJ1nShjLo16PUi59hTGURMvcDsZpeN0ZOGd2TjlUT/UXp7IfjKrHJGP5wyvjawst
nxvxozmA/4TI9tnrmLRLvSUUQ7LWSoNdgcHf8DzHeAyXHqMYWJNsoT+EYe+rjZlh7RxT2zZoCwcT
5C6zj+Ph0qf+NXm0Yv9HOCku5nPvOzeKaQaxY8XS/MZ6tCu7p18nGLqpV/VJepdHxYTlcxPvYohJ
ZLr+LplnTxWm0hsuvoYJtVwHI+piTFlq8sOq0osEQ8sp96ZY3rkbBx6mOJ2P7gpMM9D/6bFlDD8P
xGoP/fgitBivNGI6W+boywADPxJLb+VUnpgcgfk903544fRmnJqX07EFkUTv2FuWUNz1pl9tHAhz
ogPaBQYuJ7weeN41ROudo/GSGlORSUKe9npM3GvhFXO1pBhR55ufM3ZmsiuuSt2nOc4sS8bkzfnH
rHKd8zHuzpjms+OOeEBwo3dhJ5wcFzjHdLJwzs0lCwJ1HGfsuA8LHKmTa1/Nwj5lgv9mgKNls2ly
RsP8ZIwLnsQl2/fG1VU5MT4BJ0nWzef/geht84gSWJ2mZcQ6haqfLz73iyopiy0eXl69zWhjP2R/
703vH7ThNX9YjPv/+CN4Zm/nSVSUefRUAhUj9+CpLp//8Ye+MtE26yh2TPTqwVZP/e45ScA51TOf
YPhdAiHWqgCfxgKuxiOTLA03L3c8q+t77IEyLIYM2MAlRppPfCOpv5LF+19zLdT33/PXX2FHErpm
IprfFsMfH95IwesiA/a5EfayWJQol1ffSsHoWixZAtRGgLsJgP/7Uqi5EEJ0+9uS4JxXUeB6gZng
/6EZZJqVaHxPFDZbxgn2nfXgiQwktlISf+tO7EgC1XCIglwbAjemYg5Vw+iaBlO/6AfjB+uFfu0U
BTBM5UshGGnAxAZ4aZJDrtmefgCTQEKsj7UM5ovWoeN/2UrU6Ic8uJooDGZrmW3xTQZriUNXeyQO
RKHZNuNZ7A1aJcQtVZD98P63fQemgkUaJGaGYZuUB6TOsCMKu6uxp5DBe4bA2mw1beVbgShszyN7
FBSyLGcUS/LWgVi8rkNAqgmxu+zCbqvZJEFSUxBEoXtw8+osGZHRc5n+2xGFzYAi8zcrxm/E1VJB
CE+EmiAMhyl8iwkTjIVj4FT35KB32ePpwuXIDBvUFVTOWmoo1j/RelzyV/T7m0GmjxhQDpPSIwQe
+4bC6DIt6pmGi4fhHe29FM3YTI0lipgJvu9heGV1YZHmFeqtW/fCNWyfJxVybkX9wJNqrCLyGDte
8VegADuGgiIQU86sEKJMtDIlLVUQWRqoJgpspkYkgbeUIIs0C+HuiMLsYiQokrGLsN2hZhNWE4Z3
nQSDkSyJrvfdB+6FqRg8DAPMLNEW99JKBfGb8KQwE9GMIXYymeYS+vKdW0ECYrJkh6xV9gxI76Wd
opDZOjUFwZey3MlzWW2OgkCwtJ+VigdhCMwyWuw9JChUEwN2AmNI7k3FnKwTRMvBjYCrh6Fv2Zau
CRFWS2+E7FFVEwV5mEdFisFnaFqEHWnfTqAc1GuYpTd1spQVJVgr7YStHFMgCqYEPR9qWcqC8CEc
hlcmqoOIIIvyhGGqrbdCOQ+jZgM9Fe6DMJJ7URNzbxc52iyEaKvrsJVdB3LwNCqaFHQ3ZHl7hsJm
ryXFK1ps69BqbZraF2bKgLSioXAIGJiUZR8d0eR6heeOF9UpeJKy03CkUbluQ7bSUAhbi6IouBVS
jjEJGdZGce9W6OxIRXM2MWZrQyuriYImiQdkkprp2RI1HIZWIAGkYIO82mwp1iZMITeXyhVjniYU
mMB/LL7t3p0whCQTQikgQ9BJCJeg3MIWWgplUUAVyqgr+ZeBH4X0UFAHe5aCZb/4FkwrmM72Rle2
utGk9wENGOyoHv0NgzBrTxTGKjen9UaCLl3B1voP9TIFoqB+Z+EjDAO2EGM/9SA3B2ZkkZEaVLlW
pqSdCqIeVVC6hVSGTJTilAsyZz/QJDcHmrPqGlrtDa8s5SIFRpPWH5SoIGocmqHimvcsBTrhOrKR
FvoOalgtNZqO8p0Q/2EROkFNQMGSqiUn7ojC7LIPj96gzoZeia5aaymU8zBEgXskwmLBOmS+NP/2
RLHyL9yLVmEp+D32YSWbxEghqjDod5GOmq+F7D1RSNCNiYD1hnX0LTYVTcTcsIFDMcVXZVuakIzv
6ocOgJqWIH0gfAj1rbaWbDY9fZVLQcmGHMwnyCT7gEXwUBIUazTuxYYIu6VGU35CxUTMoXglVSko
q1Y9r/3wSu/SD2N9NTXP9qCu6izF2pqrXAoXaJVMD+jgq1jTeeA/jC4+A2wBwwqCwZFMrZXh1aaq
piYKjKbBDw95L/mWpFo7rpSOMVkaDSBW0AOyaW39ylFWEFwpkaYN6SRBFNUbwbXtiMLuClaPzLXl
CmIrx5q0PjARHpUr7gRK4h2aTQkx4WiyHZnoaS32ahP5qSkIkvCkE6Y5q7R071YQlqM2ME6Y4NRa
jLKRTp6iB8FsMqjFzaAMoYEmOLQVMj1F29ACd7SGqbXSbApzqJooJOzmewI9hA1Iptr2yzZAmF2A
NmBxzG2tr5WicJRFQQWL/NvCNAKvMmsyEHDMNlN8dM6E5B2JtdSZCgBC7VZIfxD/gEk0DKlqCkX+
jgchA4FNDzTrCnDR3rxUunlqohBnCtqOpjFjU6sFM3uicCTE4rZwNSTqaG3dX6jk1URBXwyrSB2P
HscK6b8feBsU+3TKmts9PK00FK5yn1RsJk1zslJaHKspul3lMLukpBoE/g5Dv5KStdROuMpFGyn6
EzSwEYPhT4uph307AQoNih3K4FhOstfW5udCtqysHDIYzg9PlIk1ENjOjskEZMNqEYQhnqXFBV5X
uarJrdB932ZPxqaYfXgrDCAXYHcJsTZz9O00FcqOFFPhEGxT33VYCyNbQ/ZuhU5MASQPz8FqDKp5
bbUVskpQUUHYJUhURRIG4SIMBZKA7ymILZmaYyMuUvmNv2pfr1TYfhVFAeaIVNRcWcQDiD84Ajoj
BN0mrcMWI/I89YjbA5HHD01wRbQp9d29K4F2UPql2EciJs3D1pZ3lWMKKVSQapJ7+MZ2oGFHOwTk
DHs1HRJpExFntjSoEJIARe0gDwOIJ5HVuhHEiTuioJKHCEwPhBrgivYiCTz1+i4KwnQxM2AIQ4PT
ZV9BDLk1RByU8lo9Lyd1N/VbAXiZ5iA+hN6wkE3s3ApEAZKbPqlL7NXiPExglWqiIKgAPcAP/rp6
d1cUZhcQM/3Dzbh1a1NSj+usJgoZM2amXJN+EOvSpGC8cynYAEuUSVy1dh+tlYSv7kupaULpIvEC
U8b2aqXVjigo7wp0kfHKNbi9tQ6kkaAbQAVANCIo1jweAExcRmtZ1AjUAKhzmweum9APjakPqHlI
L+ojLJmJoFRB50z65229FQdrP//OwLVO/i3MDGRjjqPxVXcUxCLuBtRtMl5Ivbu9vdIDHru/IwrC
BnJwNpcYLhXe/QYhqG8yDwmy1qjV1t4K5QqWlHeBETB2zmQH8fVBB90GoSUOZjM59TtjYv9B6vqL
GOd4ECXPK0qcqF/UMef81Ru2LDCHr79FJq1oXnbeKhw5609fA5jkv/+5S5mzwim/eXWLW1591Obv
N9/x8NN3Pmz7xbb/50XUz4P8abBYvbDYPOnHYASpzr+S4GlQBYfAKiEleX2aQ36fX5HEe6cfBXE/
357zygUk0WQDZy+2p7w5mexF/eQ8eH7J8uftUW+Ox0U0cHx/GtSeji9u4HRW3NSeTrSmfPpxkAyy
qoa4U3pW6qcPgjzJyrK/PeuN5CkDqZ8flXlVbA96PVxG/NQPT4KaCymbftWPzpIEHd6e9ObBm1DS
4yypRj+jGhsgsDflh/8zCqAbPQmea35Vse/KH3DSv8/KbHvQG+E0oaxQ80d1D96Eqp5U0yCpee4m
FPW0eAr+4kdtQlPPkiBMam9kE3p6lgcpewlrzIywyClfmPPguXju153ehLKeR8nTIIcIb/ukrzdS
hl3Unz5BlWqMmEA91Q+vkpftMW+euwk1vcAM1JM+CwpG+ckvcHr9Gk0V3Ij64f30Oa+x7lIBaeDw
PA3S5xoLJvPW6sdHIXsH0ue6K9OEsl5ESVL8zPKsCgfbx329OgIUUv8KWTKqu/KSSSkffpk+R0H6
4XM0rbNnUvlX/oir4Clmv+r2pDfSaUJnr/ovL31W6tSd34Ti3gQvwaJfG5UJnYyydG5IErbHvBFN
E3p7U2cRhC5L/aH7tfJuQmFv+tMaUyMNWvWnjn7287LmdIE2Kp/+Z/Ac1V5DAQE1cHoalHW/p9uE
iv4Z5FHdLypQlQYePS/rohkBf6gfnqV5VqNA0vFXPvxjUBRBtT3oVTvdJrTzUxwkWVbUJB4CJFR+
9k9xv/80yH7W3pkmFPUTYWpYJ/kmVPVT8dTPkhrZCBBAWTa3QTL6cNSn9rM97PW3lb5/Ax9QPNVE
NNKkVT87SvtJEtQENNL4VD8+S+LtMW+k0oSu3lZsvRjVHN6Ert4HaRl8+FyrUIK5VxbMfZAHRVbW
3ckm9PW+D4N4ltQolMyJqD99+eEqG6R1t6YJfb0vP9xUT3W1Auk2qj99NSrr4lNhCW7g8FmQpnV2
UnjAlI9/CBZJlm8PelUp6c0rH/4lrfXbAu1TPvsrlbGirjAm0Cnl0x+DuMKMbU96I5cmlPXdDUsr
bv563v7/qK7/GBTvb1R5/wPq2hi/eFoOmxtbAv66P9tt3sg7npJ+kP/z3wAAAP//</cx:binary>
              </cx:geoCache>
            </cx:geography>
          </cx:layoutPr>
        </cx:series>
      </cx:plotAreaRegion>
    </cx:plotArea>
    <cx:legend pos="t" align="ctr" overlay="0"/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sunburst" uniqueId="{5605936A-DDB2-401D-BBF8-D8FDB38DD1A7}">
          <cx:dataId val="0"/>
        </cx:series>
      </cx:plotAreaRegion>
    </cx:plotArea>
    <cx:legend pos="b" align="ctr" overlay="0"/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microsoft.com/office/2014/relationships/chartEx" Target="../charts/chartEx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9525</xdr:rowOff>
        </xdr:from>
        <xdr:to>
          <xdr:col>5</xdr:col>
          <xdr:colOff>533400</xdr:colOff>
          <xdr:row>19</xdr:row>
          <xdr:rowOff>28575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12</xdr:row>
          <xdr:rowOff>0</xdr:rowOff>
        </xdr:from>
        <xdr:to>
          <xdr:col>10</xdr:col>
          <xdr:colOff>619125</xdr:colOff>
          <xdr:row>19</xdr:row>
          <xdr:rowOff>52388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</xdr:row>
      <xdr:rowOff>19049</xdr:rowOff>
    </xdr:from>
    <xdr:to>
      <xdr:col>11</xdr:col>
      <xdr:colOff>47624</xdr:colOff>
      <xdr:row>11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75" y="380999"/>
          <a:ext cx="6877049" cy="170497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solidFill>
                <a:schemeClr val="tx1"/>
              </a:solidFill>
            </a:rPr>
            <a:t>Welcome!</a:t>
          </a:r>
        </a:p>
        <a:p>
          <a:pPr algn="ctr"/>
          <a:r>
            <a:rPr lang="en-US" sz="4400">
              <a:solidFill>
                <a:schemeClr val="tx1"/>
              </a:solidFill>
            </a:rPr>
            <a:t>What</a:t>
          </a:r>
          <a:r>
            <a:rPr lang="en-US" sz="4400" baseline="0">
              <a:solidFill>
                <a:schemeClr val="tx1"/>
              </a:solidFill>
            </a:rPr>
            <a:t> would you like to do?</a:t>
          </a:r>
          <a:endParaRPr lang="en-US" sz="4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123825</xdr:rowOff>
        </xdr:from>
        <xdr:to>
          <xdr:col>8</xdr:col>
          <xdr:colOff>266700</xdr:colOff>
          <xdr:row>28</xdr:row>
          <xdr:rowOff>0</xdr:rowOff>
        </xdr:to>
        <xdr:sp macro="" textlink="">
          <xdr:nvSpPr>
            <xdr:cNvPr id="6149" name="CommandButton3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157161</xdr:colOff>
      <xdr:row>0</xdr:row>
      <xdr:rowOff>171451</xdr:rowOff>
    </xdr:from>
    <xdr:to>
      <xdr:col>13</xdr:col>
      <xdr:colOff>495300</xdr:colOff>
      <xdr:row>20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9525</xdr:rowOff>
    </xdr:from>
    <xdr:to>
      <xdr:col>11</xdr:col>
      <xdr:colOff>581025</xdr:colOff>
      <xdr:row>5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9525"/>
          <a:ext cx="8042275" cy="901700"/>
          <a:chOff x="2905126" y="152400"/>
          <a:chExt cx="8420100" cy="904876"/>
        </a:xfrm>
        <a:solidFill>
          <a:srgbClr val="AF27A5"/>
        </a:solidFill>
      </xdr:grpSpPr>
      <xdr:sp macro="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2905126" y="152400"/>
            <a:ext cx="8420100" cy="761999"/>
          </a:xfrm>
          <a:prstGeom prst="flowChartAlternateProcess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3695699" y="171450"/>
            <a:ext cx="7569094" cy="885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5400">
                <a:solidFill>
                  <a:schemeClr val="bg1"/>
                </a:solidFill>
              </a:rPr>
              <a:t> Calls Dashboard</a:t>
            </a:r>
          </a:p>
        </xdr:txBody>
      </xdr:sp>
    </xdr:grpSp>
    <xdr:clientData/>
  </xdr:twoCellAnchor>
  <xdr:twoCellAnchor>
    <xdr:from>
      <xdr:col>0</xdr:col>
      <xdr:colOff>46827</xdr:colOff>
      <xdr:row>4</xdr:row>
      <xdr:rowOff>171450</xdr:rowOff>
    </xdr:from>
    <xdr:to>
      <xdr:col>1</xdr:col>
      <xdr:colOff>619125</xdr:colOff>
      <xdr:row>19</xdr:row>
      <xdr:rowOff>133350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46827" y="869950"/>
          <a:ext cx="1254923" cy="2581275"/>
          <a:chOff x="466724" y="1228726"/>
          <a:chExt cx="1969620" cy="1447799"/>
        </a:xfrm>
        <a:solidFill>
          <a:schemeClr val="accent6">
            <a:lumMod val="60000"/>
            <a:lumOff val="40000"/>
          </a:schemeClr>
        </a:solidFill>
      </xdr:grpSpPr>
      <xdr:sp macro="" textlink="'Formula calls by month'!I2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466724" y="1924049"/>
            <a:ext cx="1962152" cy="752476"/>
          </a:xfrm>
          <a:prstGeom prst="roundRect">
            <a:avLst/>
          </a:prstGeom>
          <a:grpFill/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909B5C-8391-4F5B-BDE7-B71F71247EED}" type="TxLink">
              <a:rPr lang="en-US" sz="2400" b="0" i="0" u="none" strike="noStrike">
                <a:solidFill>
                  <a:schemeClr val="bg1"/>
                </a:solidFill>
                <a:latin typeface="Tw Cen MT"/>
                <a:cs typeface="Calibri"/>
              </a:rPr>
              <a:pPr algn="ctr"/>
              <a:t>5</a:t>
            </a:fld>
            <a:endParaRPr lang="en-US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467974" y="1228726"/>
            <a:ext cx="1968370" cy="606938"/>
          </a:xfrm>
          <a:prstGeom prst="roundRect">
            <a:avLst/>
          </a:prstGeom>
          <a:grpFill/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</a:rPr>
              <a:t>Total</a:t>
            </a:r>
            <a:r>
              <a:rPr lang="en-US" sz="1800" b="1" baseline="0">
                <a:solidFill>
                  <a:schemeClr val="bg1"/>
                </a:solidFill>
              </a:rPr>
              <a:t> Calls</a:t>
            </a:r>
            <a:endParaRPr lang="en-US" sz="1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47625</xdr:colOff>
      <xdr:row>6</xdr:row>
      <xdr:rowOff>171450</xdr:rowOff>
    </xdr:from>
    <xdr:to>
      <xdr:col>7</xdr:col>
      <xdr:colOff>19049</xdr:colOff>
      <xdr:row>22</xdr:row>
      <xdr:rowOff>171451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5</xdr:row>
      <xdr:rowOff>19050</xdr:rowOff>
    </xdr:from>
    <xdr:to>
      <xdr:col>7</xdr:col>
      <xdr:colOff>19050</xdr:colOff>
      <xdr:row>6</xdr:row>
      <xdr:rowOff>123825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419225" y="923925"/>
          <a:ext cx="3467100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Service</a:t>
          </a:r>
        </a:p>
      </xdr:txBody>
    </xdr:sp>
    <xdr:clientData/>
  </xdr:twoCellAnchor>
  <xdr:twoCellAnchor>
    <xdr:from>
      <xdr:col>7</xdr:col>
      <xdr:colOff>76199</xdr:colOff>
      <xdr:row>5</xdr:row>
      <xdr:rowOff>19050</xdr:rowOff>
    </xdr:from>
    <xdr:to>
      <xdr:col>11</xdr:col>
      <xdr:colOff>581024</xdr:colOff>
      <xdr:row>6</xdr:row>
      <xdr:rowOff>161925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4876799" y="923925"/>
          <a:ext cx="324802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County</a:t>
          </a:r>
        </a:p>
      </xdr:txBody>
    </xdr:sp>
    <xdr:clientData/>
  </xdr:twoCellAnchor>
  <xdr:twoCellAnchor>
    <xdr:from>
      <xdr:col>0</xdr:col>
      <xdr:colOff>38101</xdr:colOff>
      <xdr:row>25</xdr:row>
      <xdr:rowOff>95250</xdr:rowOff>
    </xdr:from>
    <xdr:to>
      <xdr:col>5</xdr:col>
      <xdr:colOff>438151</xdr:colOff>
      <xdr:row>36</xdr:row>
      <xdr:rowOff>38101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95250</xdr:colOff>
      <xdr:row>7</xdr:row>
      <xdr:rowOff>9525</xdr:rowOff>
    </xdr:from>
    <xdr:to>
      <xdr:col>11</xdr:col>
      <xdr:colOff>571500</xdr:colOff>
      <xdr:row>23</xdr:row>
      <xdr:rowOff>38101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7" name="Chart 32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95850" y="1243013"/>
              <a:ext cx="3219450" cy="28479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47625</xdr:colOff>
      <xdr:row>23</xdr:row>
      <xdr:rowOff>114300</xdr:rowOff>
    </xdr:from>
    <xdr:to>
      <xdr:col>5</xdr:col>
      <xdr:colOff>438150</xdr:colOff>
      <xdr:row>25</xdr:row>
      <xdr:rowOff>38100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47625" y="4276725"/>
          <a:ext cx="3819525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Year</a:t>
          </a:r>
        </a:p>
      </xdr:txBody>
    </xdr:sp>
    <xdr:clientData/>
  </xdr:twoCellAnchor>
  <xdr:twoCellAnchor>
    <xdr:from>
      <xdr:col>5</xdr:col>
      <xdr:colOff>542924</xdr:colOff>
      <xdr:row>23</xdr:row>
      <xdr:rowOff>104775</xdr:rowOff>
    </xdr:from>
    <xdr:to>
      <xdr:col>11</xdr:col>
      <xdr:colOff>571500</xdr:colOff>
      <xdr:row>25</xdr:row>
      <xdr:rowOff>28575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3971924" y="4267200"/>
          <a:ext cx="4143376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Month</a:t>
          </a:r>
        </a:p>
      </xdr:txBody>
    </xdr:sp>
    <xdr:clientData/>
  </xdr:twoCellAnchor>
  <xdr:twoCellAnchor>
    <xdr:from>
      <xdr:col>5</xdr:col>
      <xdr:colOff>533400</xdr:colOff>
      <xdr:row>25</xdr:row>
      <xdr:rowOff>76200</xdr:rowOff>
    </xdr:from>
    <xdr:to>
      <xdr:col>11</xdr:col>
      <xdr:colOff>571499</xdr:colOff>
      <xdr:row>36</xdr:row>
      <xdr:rowOff>38101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Chart 2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62400" y="4481513"/>
              <a:ext cx="4152899" cy="1900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0</xdr:row>
          <xdr:rowOff>142875</xdr:rowOff>
        </xdr:from>
        <xdr:to>
          <xdr:col>14</xdr:col>
          <xdr:colOff>295275</xdr:colOff>
          <xdr:row>2</xdr:row>
          <xdr:rowOff>161925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41727-FA83-43EC-BAE6-D92B9A207A8B}">
  <sheetPr codeName="Sheet6"/>
  <dimension ref="A1"/>
  <sheetViews>
    <sheetView zoomScale="70" zoomScaleNormal="70" workbookViewId="0">
      <selection activeCell="N27" sqref="N27"/>
    </sheetView>
  </sheetViews>
  <sheetFormatPr defaultRowHeight="13.9" x14ac:dyDescent="0.4"/>
  <cols>
    <col min="1" max="16384" width="9" style="15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mandButton2">
          <controlPr defaultSize="0" autoLine="0" r:id="rId5">
            <anchor moveWithCells="1">
              <from>
                <xdr:col>6</xdr:col>
                <xdr:colOff>85725</xdr:colOff>
                <xdr:row>12</xdr:row>
                <xdr:rowOff>0</xdr:rowOff>
              </from>
              <to>
                <xdr:col>10</xdr:col>
                <xdr:colOff>619125</xdr:colOff>
                <xdr:row>19</xdr:row>
                <xdr:rowOff>52388</xdr:rowOff>
              </to>
            </anchor>
          </controlPr>
        </control>
      </mc:Choice>
      <mc:Fallback>
        <control shapeId="6147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Line="0" autoPict="0" r:id="rId7">
            <anchor moveWithCells="1">
              <from>
                <xdr:col>1</xdr:col>
                <xdr:colOff>0</xdr:colOff>
                <xdr:row>12</xdr:row>
                <xdr:rowOff>9525</xdr:rowOff>
              </from>
              <to>
                <xdr:col>5</xdr:col>
                <xdr:colOff>533400</xdr:colOff>
                <xdr:row>19</xdr:row>
                <xdr:rowOff>28575</xdr:rowOff>
              </to>
            </anchor>
          </controlPr>
        </control>
      </mc:Choice>
      <mc:Fallback>
        <control shapeId="6145" r:id="rId6" name="CommandButton1"/>
      </mc:Fallback>
    </mc:AlternateContent>
    <mc:AlternateContent xmlns:mc="http://schemas.openxmlformats.org/markup-compatibility/2006">
      <mc:Choice Requires="x14">
        <control shapeId="6149" r:id="rId8" name="CommandButton3">
          <controlPr defaultSize="0" autoLine="0" r:id="rId9">
            <anchor moveWithCells="1">
              <from>
                <xdr:col>3</xdr:col>
                <xdr:colOff>419100</xdr:colOff>
                <xdr:row>20</xdr:row>
                <xdr:rowOff>123825</xdr:rowOff>
              </from>
              <to>
                <xdr:col>8</xdr:col>
                <xdr:colOff>266700</xdr:colOff>
                <xdr:row>28</xdr:row>
                <xdr:rowOff>0</xdr:rowOff>
              </to>
            </anchor>
          </controlPr>
        </control>
      </mc:Choice>
      <mc:Fallback>
        <control shapeId="6149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16A25-FBCF-45E8-ACA3-E0416C759D63}">
  <sheetPr codeName="Sheet1"/>
  <dimension ref="A1:L19"/>
  <sheetViews>
    <sheetView zoomScale="80" zoomScaleNormal="80" workbookViewId="0">
      <selection activeCell="E14" sqref="E14"/>
    </sheetView>
  </sheetViews>
  <sheetFormatPr defaultRowHeight="13.9" x14ac:dyDescent="0.4"/>
  <cols>
    <col min="1" max="1" width="12" style="1" customWidth="1"/>
    <col min="2" max="2" width="16.25" customWidth="1"/>
    <col min="3" max="3" width="18.25" customWidth="1"/>
    <col min="4" max="4" width="20.25" customWidth="1"/>
    <col min="5" max="5" width="19.5" customWidth="1"/>
    <col min="6" max="6" width="23.625" style="4" customWidth="1"/>
    <col min="7" max="7" width="44.375" style="4" customWidth="1"/>
    <col min="9" max="9" width="11.25" style="11" customWidth="1"/>
    <col min="10" max="10" width="20.125" customWidth="1"/>
    <col min="11" max="11" width="36.5" style="13" customWidth="1"/>
    <col min="12" max="12" width="24.5" customWidth="1"/>
  </cols>
  <sheetData>
    <row r="1" spans="1:12" x14ac:dyDescent="0.4">
      <c r="A1" s="5" t="s">
        <v>2</v>
      </c>
      <c r="B1" s="2" t="s">
        <v>3</v>
      </c>
      <c r="C1" s="2" t="s">
        <v>4</v>
      </c>
      <c r="D1" s="2" t="s">
        <v>5</v>
      </c>
      <c r="E1" s="2" t="s">
        <v>0</v>
      </c>
      <c r="F1" s="3" t="s">
        <v>6</v>
      </c>
      <c r="G1" s="3" t="s">
        <v>1</v>
      </c>
      <c r="H1" s="2" t="s">
        <v>7</v>
      </c>
      <c r="I1" s="10" t="s">
        <v>111</v>
      </c>
      <c r="J1" s="2" t="s">
        <v>112</v>
      </c>
      <c r="K1" s="12" t="s">
        <v>113</v>
      </c>
      <c r="L1" s="2" t="s">
        <v>114</v>
      </c>
    </row>
    <row r="2" spans="1:12" x14ac:dyDescent="0.4">
      <c r="A2" s="1">
        <v>44458</v>
      </c>
      <c r="B2" t="s">
        <v>115</v>
      </c>
      <c r="C2" t="s">
        <v>116</v>
      </c>
      <c r="D2" t="s">
        <v>117</v>
      </c>
      <c r="E2" t="s">
        <v>24</v>
      </c>
      <c r="F2" t="s">
        <v>18</v>
      </c>
      <c r="G2" t="s">
        <v>118</v>
      </c>
      <c r="H2">
        <v>1</v>
      </c>
      <c r="I2" s="14">
        <v>0.35416666666666669</v>
      </c>
      <c r="J2" t="s">
        <v>119</v>
      </c>
      <c r="K2" t="s">
        <v>120</v>
      </c>
      <c r="L2" t="s">
        <v>121</v>
      </c>
    </row>
    <row r="3" spans="1:12" x14ac:dyDescent="0.4">
      <c r="F3"/>
      <c r="G3"/>
      <c r="I3" s="14"/>
      <c r="K3"/>
    </row>
    <row r="4" spans="1:12" x14ac:dyDescent="0.4">
      <c r="F4"/>
      <c r="G4"/>
      <c r="I4" s="14"/>
      <c r="K4"/>
    </row>
    <row r="5" spans="1:12" x14ac:dyDescent="0.4">
      <c r="F5"/>
      <c r="G5"/>
      <c r="I5" s="14"/>
      <c r="K5"/>
    </row>
    <row r="19" customFormat="1" x14ac:dyDescent="0.4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DED37-155C-4206-A33E-53E7BB98018F}">
  <sheetPr codeName="Sheet4"/>
  <dimension ref="A1:C68"/>
  <sheetViews>
    <sheetView workbookViewId="0">
      <selection activeCell="C70" sqref="C70"/>
    </sheetView>
  </sheetViews>
  <sheetFormatPr defaultRowHeight="13.9" x14ac:dyDescent="0.4"/>
  <cols>
    <col min="1" max="3" width="15.5" customWidth="1"/>
    <col min="5" max="7" width="8"/>
  </cols>
  <sheetData>
    <row r="1" spans="1:3" x14ac:dyDescent="0.4">
      <c r="A1" t="s">
        <v>13</v>
      </c>
      <c r="B1" t="s">
        <v>0</v>
      </c>
      <c r="C1" t="s">
        <v>16</v>
      </c>
    </row>
    <row r="2" spans="1:3" x14ac:dyDescent="0.4">
      <c r="A2" t="s">
        <v>14</v>
      </c>
      <c r="B2" t="s">
        <v>20</v>
      </c>
      <c r="C2">
        <f>COUNTIF(Data!E:E,B2)</f>
        <v>0</v>
      </c>
    </row>
    <row r="3" spans="1:3" x14ac:dyDescent="0.4">
      <c r="A3" t="s">
        <v>14</v>
      </c>
      <c r="B3" t="s">
        <v>21</v>
      </c>
      <c r="C3">
        <f>COUNTIF(Data!E:E,B3)</f>
        <v>0</v>
      </c>
    </row>
    <row r="4" spans="1:3" x14ac:dyDescent="0.4">
      <c r="A4" t="s">
        <v>14</v>
      </c>
      <c r="B4" t="s">
        <v>22</v>
      </c>
      <c r="C4">
        <f>COUNTIF(Data!E:E,B4)</f>
        <v>0</v>
      </c>
    </row>
    <row r="5" spans="1:3" x14ac:dyDescent="0.4">
      <c r="A5" t="s">
        <v>14</v>
      </c>
      <c r="B5" t="s">
        <v>23</v>
      </c>
      <c r="C5">
        <f>COUNTIF(Data!E:E,B5)</f>
        <v>0</v>
      </c>
    </row>
    <row r="6" spans="1:3" x14ac:dyDescent="0.4">
      <c r="A6" t="s">
        <v>14</v>
      </c>
      <c r="B6" t="s">
        <v>24</v>
      </c>
      <c r="C6">
        <f>COUNTIF(Data!E:E,B6)</f>
        <v>1</v>
      </c>
    </row>
    <row r="7" spans="1:3" x14ac:dyDescent="0.4">
      <c r="A7" t="s">
        <v>14</v>
      </c>
      <c r="B7" t="s">
        <v>25</v>
      </c>
      <c r="C7">
        <f>COUNTIF(Data!E:E,B7)</f>
        <v>0</v>
      </c>
    </row>
    <row r="8" spans="1:3" x14ac:dyDescent="0.4">
      <c r="A8" t="s">
        <v>14</v>
      </c>
      <c r="B8" t="s">
        <v>26</v>
      </c>
      <c r="C8">
        <f>COUNTIF(Data!E:E,B8)</f>
        <v>0</v>
      </c>
    </row>
    <row r="9" spans="1:3" x14ac:dyDescent="0.4">
      <c r="A9" t="s">
        <v>14</v>
      </c>
      <c r="B9" t="s">
        <v>27</v>
      </c>
      <c r="C9">
        <f>COUNTIF(Data!E:E,B9)</f>
        <v>0</v>
      </c>
    </row>
    <row r="10" spans="1:3" x14ac:dyDescent="0.4">
      <c r="A10" t="s">
        <v>14</v>
      </c>
      <c r="B10" t="s">
        <v>28</v>
      </c>
      <c r="C10">
        <f>COUNTIF(Data!E:E,B10)</f>
        <v>0</v>
      </c>
    </row>
    <row r="11" spans="1:3" x14ac:dyDescent="0.4">
      <c r="A11" t="s">
        <v>14</v>
      </c>
      <c r="B11" t="s">
        <v>29</v>
      </c>
      <c r="C11">
        <f>COUNTIF(Data!E:E,B11)</f>
        <v>0</v>
      </c>
    </row>
    <row r="12" spans="1:3" x14ac:dyDescent="0.4">
      <c r="A12" t="s">
        <v>14</v>
      </c>
      <c r="B12" t="s">
        <v>30</v>
      </c>
      <c r="C12">
        <f>COUNTIF(Data!E:E,B12)</f>
        <v>0</v>
      </c>
    </row>
    <row r="13" spans="1:3" x14ac:dyDescent="0.4">
      <c r="A13" t="s">
        <v>14</v>
      </c>
      <c r="B13" t="s">
        <v>31</v>
      </c>
      <c r="C13">
        <f>COUNTIF(Data!E:E,B13)</f>
        <v>0</v>
      </c>
    </row>
    <row r="14" spans="1:3" x14ac:dyDescent="0.4">
      <c r="A14" t="s">
        <v>14</v>
      </c>
      <c r="B14" t="s">
        <v>32</v>
      </c>
      <c r="C14">
        <f>COUNTIF(Data!E:E,B14)</f>
        <v>0</v>
      </c>
    </row>
    <row r="15" spans="1:3" x14ac:dyDescent="0.4">
      <c r="A15" t="s">
        <v>14</v>
      </c>
      <c r="B15" t="s">
        <v>33</v>
      </c>
      <c r="C15">
        <f>COUNTIF(Data!E:E,B15)</f>
        <v>0</v>
      </c>
    </row>
    <row r="16" spans="1:3" x14ac:dyDescent="0.4">
      <c r="A16" t="s">
        <v>14</v>
      </c>
      <c r="B16" t="s">
        <v>34</v>
      </c>
      <c r="C16">
        <f>COUNTIF(Data!E:E,B16)</f>
        <v>0</v>
      </c>
    </row>
    <row r="17" spans="1:3" x14ac:dyDescent="0.4">
      <c r="A17" t="s">
        <v>14</v>
      </c>
      <c r="B17" t="s">
        <v>35</v>
      </c>
      <c r="C17">
        <f>COUNTIF(Data!E:E,B17)</f>
        <v>0</v>
      </c>
    </row>
    <row r="18" spans="1:3" x14ac:dyDescent="0.4">
      <c r="A18" t="s">
        <v>14</v>
      </c>
      <c r="B18" t="s">
        <v>36</v>
      </c>
      <c r="C18">
        <f>COUNTIF(Data!E:E,B18)</f>
        <v>0</v>
      </c>
    </row>
    <row r="19" spans="1:3" x14ac:dyDescent="0.4">
      <c r="A19" t="s">
        <v>14</v>
      </c>
      <c r="B19" t="s">
        <v>37</v>
      </c>
      <c r="C19">
        <f>COUNTIF(Data!E:E,B19)</f>
        <v>0</v>
      </c>
    </row>
    <row r="20" spans="1:3" x14ac:dyDescent="0.4">
      <c r="A20" t="s">
        <v>14</v>
      </c>
      <c r="B20" t="s">
        <v>38</v>
      </c>
      <c r="C20">
        <f>COUNTIF(Data!E:E,B20)</f>
        <v>0</v>
      </c>
    </row>
    <row r="21" spans="1:3" x14ac:dyDescent="0.4">
      <c r="A21" t="s">
        <v>14</v>
      </c>
      <c r="B21" t="s">
        <v>39</v>
      </c>
      <c r="C21">
        <f>COUNTIF(Data!E:E,B21)</f>
        <v>0</v>
      </c>
    </row>
    <row r="22" spans="1:3" x14ac:dyDescent="0.4">
      <c r="A22" t="s">
        <v>14</v>
      </c>
      <c r="B22" t="s">
        <v>40</v>
      </c>
      <c r="C22">
        <f>COUNTIF(Data!E:E,B22)</f>
        <v>0</v>
      </c>
    </row>
    <row r="23" spans="1:3" x14ac:dyDescent="0.4">
      <c r="A23" t="s">
        <v>14</v>
      </c>
      <c r="B23" t="s">
        <v>41</v>
      </c>
      <c r="C23">
        <f>COUNTIF(Data!E:E,B23)</f>
        <v>0</v>
      </c>
    </row>
    <row r="24" spans="1:3" x14ac:dyDescent="0.4">
      <c r="A24" t="s">
        <v>14</v>
      </c>
      <c r="B24" t="s">
        <v>42</v>
      </c>
      <c r="C24">
        <f>COUNTIF(Data!E:E,B24)</f>
        <v>0</v>
      </c>
    </row>
    <row r="25" spans="1:3" x14ac:dyDescent="0.4">
      <c r="A25" t="s">
        <v>14</v>
      </c>
      <c r="B25" t="s">
        <v>43</v>
      </c>
      <c r="C25">
        <f>COUNTIF(Data!E:E,B25)</f>
        <v>0</v>
      </c>
    </row>
    <row r="26" spans="1:3" x14ac:dyDescent="0.4">
      <c r="A26" t="s">
        <v>14</v>
      </c>
      <c r="B26" t="s">
        <v>44</v>
      </c>
      <c r="C26">
        <f>COUNTIF(Data!E:E,B26)</f>
        <v>0</v>
      </c>
    </row>
    <row r="27" spans="1:3" x14ac:dyDescent="0.4">
      <c r="A27" t="s">
        <v>14</v>
      </c>
      <c r="B27" t="s">
        <v>45</v>
      </c>
      <c r="C27">
        <f>COUNTIF(Data!E:E,B27)</f>
        <v>0</v>
      </c>
    </row>
    <row r="28" spans="1:3" x14ac:dyDescent="0.4">
      <c r="A28" t="s">
        <v>14</v>
      </c>
      <c r="B28" t="s">
        <v>46</v>
      </c>
      <c r="C28">
        <f>COUNTIF(Data!E:E,B28)</f>
        <v>0</v>
      </c>
    </row>
    <row r="29" spans="1:3" x14ac:dyDescent="0.4">
      <c r="A29" t="s">
        <v>14</v>
      </c>
      <c r="B29" t="s">
        <v>47</v>
      </c>
      <c r="C29">
        <f>COUNTIF(Data!E:E,B29)</f>
        <v>0</v>
      </c>
    </row>
    <row r="30" spans="1:3" x14ac:dyDescent="0.4">
      <c r="A30" t="s">
        <v>14</v>
      </c>
      <c r="B30" t="s">
        <v>48</v>
      </c>
      <c r="C30">
        <f>COUNTIF(Data!E:E,B30)</f>
        <v>0</v>
      </c>
    </row>
    <row r="31" spans="1:3" x14ac:dyDescent="0.4">
      <c r="A31" t="s">
        <v>14</v>
      </c>
      <c r="B31" t="s">
        <v>49</v>
      </c>
      <c r="C31">
        <f>COUNTIF(Data!E:E,B31)</f>
        <v>0</v>
      </c>
    </row>
    <row r="32" spans="1:3" x14ac:dyDescent="0.4">
      <c r="A32" t="s">
        <v>14</v>
      </c>
      <c r="B32" t="s">
        <v>50</v>
      </c>
      <c r="C32">
        <f>COUNTIF(Data!E:E,B32)</f>
        <v>0</v>
      </c>
    </row>
    <row r="33" spans="1:3" x14ac:dyDescent="0.4">
      <c r="A33" t="s">
        <v>14</v>
      </c>
      <c r="B33" t="s">
        <v>51</v>
      </c>
      <c r="C33">
        <f>COUNTIF(Data!E:E,B33)</f>
        <v>0</v>
      </c>
    </row>
    <row r="34" spans="1:3" x14ac:dyDescent="0.4">
      <c r="A34" t="s">
        <v>14</v>
      </c>
      <c r="B34" t="s">
        <v>52</v>
      </c>
      <c r="C34">
        <f>COUNTIF(Data!E:E,B34)</f>
        <v>0</v>
      </c>
    </row>
    <row r="35" spans="1:3" x14ac:dyDescent="0.4">
      <c r="A35" t="s">
        <v>14</v>
      </c>
      <c r="B35" t="s">
        <v>53</v>
      </c>
      <c r="C35">
        <f>COUNTIF(Data!E:E,B35)</f>
        <v>0</v>
      </c>
    </row>
    <row r="36" spans="1:3" x14ac:dyDescent="0.4">
      <c r="A36" t="s">
        <v>14</v>
      </c>
      <c r="B36" t="s">
        <v>54</v>
      </c>
      <c r="C36">
        <f>COUNTIF(Data!E:E,B36)</f>
        <v>0</v>
      </c>
    </row>
    <row r="37" spans="1:3" x14ac:dyDescent="0.4">
      <c r="A37" t="s">
        <v>14</v>
      </c>
      <c r="B37" t="s">
        <v>11</v>
      </c>
      <c r="C37">
        <f>COUNTIF(Data!E:E,B37)</f>
        <v>0</v>
      </c>
    </row>
    <row r="38" spans="1:3" x14ac:dyDescent="0.4">
      <c r="A38" t="s">
        <v>14</v>
      </c>
      <c r="B38" t="s">
        <v>55</v>
      </c>
      <c r="C38">
        <f>COUNTIF(Data!E:E,B38)</f>
        <v>0</v>
      </c>
    </row>
    <row r="39" spans="1:3" x14ac:dyDescent="0.4">
      <c r="A39" t="s">
        <v>14</v>
      </c>
      <c r="B39" t="s">
        <v>56</v>
      </c>
      <c r="C39">
        <f>COUNTIF(Data!E:E,B39)</f>
        <v>0</v>
      </c>
    </row>
    <row r="40" spans="1:3" x14ac:dyDescent="0.4">
      <c r="A40" t="s">
        <v>14</v>
      </c>
      <c r="B40" t="s">
        <v>57</v>
      </c>
      <c r="C40">
        <f>COUNTIF(Data!E:E,B40)</f>
        <v>0</v>
      </c>
    </row>
    <row r="41" spans="1:3" x14ac:dyDescent="0.4">
      <c r="A41" t="s">
        <v>14</v>
      </c>
      <c r="B41" t="s">
        <v>58</v>
      </c>
      <c r="C41">
        <f>COUNTIF(Data!E:E,B41)</f>
        <v>0</v>
      </c>
    </row>
    <row r="42" spans="1:3" x14ac:dyDescent="0.4">
      <c r="A42" t="s">
        <v>14</v>
      </c>
      <c r="B42" t="s">
        <v>59</v>
      </c>
      <c r="C42">
        <f>COUNTIF(Data!E:E,B42)</f>
        <v>0</v>
      </c>
    </row>
    <row r="43" spans="1:3" x14ac:dyDescent="0.4">
      <c r="A43" t="s">
        <v>14</v>
      </c>
      <c r="B43" t="s">
        <v>60</v>
      </c>
      <c r="C43">
        <f>COUNTIF(Data!E:E,B43)</f>
        <v>0</v>
      </c>
    </row>
    <row r="44" spans="1:3" x14ac:dyDescent="0.4">
      <c r="A44" t="s">
        <v>14</v>
      </c>
      <c r="B44" t="s">
        <v>61</v>
      </c>
      <c r="C44">
        <f>COUNTIF(Data!E:E,B44)</f>
        <v>0</v>
      </c>
    </row>
    <row r="45" spans="1:3" x14ac:dyDescent="0.4">
      <c r="A45" t="s">
        <v>14</v>
      </c>
      <c r="B45" t="s">
        <v>62</v>
      </c>
      <c r="C45">
        <f>COUNTIF(Data!E:E,B45)</f>
        <v>0</v>
      </c>
    </row>
    <row r="46" spans="1:3" x14ac:dyDescent="0.4">
      <c r="A46" t="s">
        <v>14</v>
      </c>
      <c r="B46" t="s">
        <v>63</v>
      </c>
      <c r="C46">
        <f>COUNTIF(Data!E:E,B46)</f>
        <v>0</v>
      </c>
    </row>
    <row r="47" spans="1:3" x14ac:dyDescent="0.4">
      <c r="A47" t="s">
        <v>14</v>
      </c>
      <c r="B47" t="s">
        <v>64</v>
      </c>
      <c r="C47">
        <f>COUNTIF(Data!E:E,B47)</f>
        <v>0</v>
      </c>
    </row>
    <row r="48" spans="1:3" x14ac:dyDescent="0.4">
      <c r="A48" t="s">
        <v>14</v>
      </c>
      <c r="B48" t="s">
        <v>65</v>
      </c>
      <c r="C48">
        <f>COUNTIF(Data!E:E,B48)</f>
        <v>0</v>
      </c>
    </row>
    <row r="49" spans="1:3" x14ac:dyDescent="0.4">
      <c r="A49" t="s">
        <v>14</v>
      </c>
      <c r="B49" t="s">
        <v>66</v>
      </c>
      <c r="C49">
        <f>COUNTIF(Data!E:E,B49)</f>
        <v>0</v>
      </c>
    </row>
    <row r="50" spans="1:3" x14ac:dyDescent="0.4">
      <c r="A50" t="s">
        <v>14</v>
      </c>
      <c r="B50" t="s">
        <v>67</v>
      </c>
      <c r="C50">
        <f>COUNTIF(Data!E:E,B50)</f>
        <v>0</v>
      </c>
    </row>
    <row r="51" spans="1:3" x14ac:dyDescent="0.4">
      <c r="A51" t="s">
        <v>14</v>
      </c>
      <c r="B51" t="s">
        <v>68</v>
      </c>
      <c r="C51">
        <f>COUNTIF(Data!E:E,B51)</f>
        <v>0</v>
      </c>
    </row>
    <row r="52" spans="1:3" x14ac:dyDescent="0.4">
      <c r="A52" t="s">
        <v>14</v>
      </c>
      <c r="B52" t="s">
        <v>69</v>
      </c>
      <c r="C52">
        <f>COUNTIF(Data!E:E,B52)</f>
        <v>0</v>
      </c>
    </row>
    <row r="53" spans="1:3" x14ac:dyDescent="0.4">
      <c r="A53" t="s">
        <v>14</v>
      </c>
      <c r="B53" t="s">
        <v>70</v>
      </c>
      <c r="C53">
        <f>COUNTIF(Data!E:E,B53)</f>
        <v>0</v>
      </c>
    </row>
    <row r="54" spans="1:3" x14ac:dyDescent="0.4">
      <c r="A54" t="s">
        <v>14</v>
      </c>
      <c r="B54" t="s">
        <v>71</v>
      </c>
      <c r="C54">
        <f>COUNTIF(Data!E:E,B54)</f>
        <v>0</v>
      </c>
    </row>
    <row r="55" spans="1:3" x14ac:dyDescent="0.4">
      <c r="A55" t="s">
        <v>14</v>
      </c>
      <c r="B55" t="s">
        <v>72</v>
      </c>
      <c r="C55">
        <f>COUNTIF(Data!E:E,B55)</f>
        <v>0</v>
      </c>
    </row>
    <row r="56" spans="1:3" x14ac:dyDescent="0.4">
      <c r="A56" t="s">
        <v>14</v>
      </c>
      <c r="B56" t="s">
        <v>82</v>
      </c>
      <c r="C56">
        <f>COUNTIF(Data!E:E,B56)</f>
        <v>0</v>
      </c>
    </row>
    <row r="57" spans="1:3" x14ac:dyDescent="0.4">
      <c r="A57" t="s">
        <v>14</v>
      </c>
      <c r="B57" t="s">
        <v>83</v>
      </c>
      <c r="C57">
        <f>COUNTIF(Data!E:E,B57)</f>
        <v>0</v>
      </c>
    </row>
    <row r="58" spans="1:3" x14ac:dyDescent="0.4">
      <c r="A58" t="s">
        <v>14</v>
      </c>
      <c r="B58" t="s">
        <v>73</v>
      </c>
      <c r="C58">
        <f>COUNTIF(Data!E:E,B58)</f>
        <v>0</v>
      </c>
    </row>
    <row r="59" spans="1:3" x14ac:dyDescent="0.4">
      <c r="A59" t="s">
        <v>14</v>
      </c>
      <c r="B59" t="s">
        <v>74</v>
      </c>
      <c r="C59">
        <f>COUNTIF(Data!E:E,B59)</f>
        <v>0</v>
      </c>
    </row>
    <row r="60" spans="1:3" x14ac:dyDescent="0.4">
      <c r="A60" t="s">
        <v>14</v>
      </c>
      <c r="B60" t="s">
        <v>75</v>
      </c>
      <c r="C60">
        <f>COUNTIF(Data!E:E,B60)</f>
        <v>0</v>
      </c>
    </row>
    <row r="61" spans="1:3" x14ac:dyDescent="0.4">
      <c r="A61" t="s">
        <v>14</v>
      </c>
      <c r="B61" t="s">
        <v>76</v>
      </c>
      <c r="C61">
        <f>COUNTIF(Data!E:E,B61)</f>
        <v>0</v>
      </c>
    </row>
    <row r="62" spans="1:3" x14ac:dyDescent="0.4">
      <c r="A62" t="s">
        <v>14</v>
      </c>
      <c r="B62" t="s">
        <v>77</v>
      </c>
      <c r="C62">
        <f>COUNTIF(Data!E:E,B62)</f>
        <v>0</v>
      </c>
    </row>
    <row r="63" spans="1:3" x14ac:dyDescent="0.4">
      <c r="A63" t="s">
        <v>14</v>
      </c>
      <c r="B63" t="s">
        <v>78</v>
      </c>
      <c r="C63">
        <f>COUNTIF(Data!E:E,B63)</f>
        <v>0</v>
      </c>
    </row>
    <row r="64" spans="1:3" x14ac:dyDescent="0.4">
      <c r="A64" t="s">
        <v>14</v>
      </c>
      <c r="B64" t="s">
        <v>79</v>
      </c>
      <c r="C64">
        <f>COUNTIF(Data!E:E,B64)</f>
        <v>0</v>
      </c>
    </row>
    <row r="65" spans="1:3" x14ac:dyDescent="0.4">
      <c r="A65" t="s">
        <v>14</v>
      </c>
      <c r="B65" t="s">
        <v>15</v>
      </c>
      <c r="C65">
        <f>COUNTIF(Data!E:E,B65)</f>
        <v>0</v>
      </c>
    </row>
    <row r="66" spans="1:3" x14ac:dyDescent="0.4">
      <c r="A66" t="s">
        <v>14</v>
      </c>
      <c r="B66" t="s">
        <v>10</v>
      </c>
      <c r="C66">
        <f>COUNTIF(Data!E:E,B66)</f>
        <v>0</v>
      </c>
    </row>
    <row r="67" spans="1:3" x14ac:dyDescent="0.4">
      <c r="A67" t="s">
        <v>14</v>
      </c>
      <c r="B67" t="s">
        <v>80</v>
      </c>
      <c r="C67">
        <f>COUNTIF(Data!E:E,B67)</f>
        <v>0</v>
      </c>
    </row>
    <row r="68" spans="1:3" x14ac:dyDescent="0.4">
      <c r="A68" t="s">
        <v>14</v>
      </c>
      <c r="B68" t="s">
        <v>81</v>
      </c>
      <c r="C68">
        <f>COUNTIF(Data!E:E,B68)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39DD-B00F-4E34-999A-9B39E6F07271}">
  <sheetPr codeName="Sheet2"/>
  <dimension ref="A1:B15"/>
  <sheetViews>
    <sheetView workbookViewId="0">
      <selection activeCell="A19" sqref="A19"/>
    </sheetView>
  </sheetViews>
  <sheetFormatPr defaultRowHeight="13.9" x14ac:dyDescent="0.4"/>
  <cols>
    <col min="1" max="1" width="23.875" customWidth="1"/>
  </cols>
  <sheetData>
    <row r="1" spans="1:2" x14ac:dyDescent="0.4">
      <c r="A1" t="s">
        <v>12</v>
      </c>
      <c r="B1" t="s">
        <v>16</v>
      </c>
    </row>
    <row r="2" spans="1:2" x14ac:dyDescent="0.4">
      <c r="A2" t="s">
        <v>84</v>
      </c>
      <c r="B2">
        <f>COUNTIF(Data!F:F,A2)</f>
        <v>0</v>
      </c>
    </row>
    <row r="3" spans="1:2" x14ac:dyDescent="0.4">
      <c r="A3" t="s">
        <v>85</v>
      </c>
      <c r="B3">
        <f>COUNTIF(Data!F:F,A3)</f>
        <v>0</v>
      </c>
    </row>
    <row r="4" spans="1:2" x14ac:dyDescent="0.4">
      <c r="A4" t="s">
        <v>8</v>
      </c>
      <c r="B4">
        <f>COUNTIF(Data!F:F,A4)</f>
        <v>0</v>
      </c>
    </row>
    <row r="5" spans="1:2" x14ac:dyDescent="0.4">
      <c r="A5" t="s">
        <v>18</v>
      </c>
      <c r="B5">
        <f>COUNTIF(Data!F:F,A5)</f>
        <v>1</v>
      </c>
    </row>
    <row r="6" spans="1:2" x14ac:dyDescent="0.4">
      <c r="A6" t="s">
        <v>86</v>
      </c>
      <c r="B6">
        <f>COUNTIF(Data!F:F,A6)</f>
        <v>0</v>
      </c>
    </row>
    <row r="7" spans="1:2" x14ac:dyDescent="0.4">
      <c r="A7" t="s">
        <v>17</v>
      </c>
      <c r="B7">
        <f>COUNTIF(Data!F:F,A7)</f>
        <v>0</v>
      </c>
    </row>
    <row r="8" spans="1:2" x14ac:dyDescent="0.4">
      <c r="A8" t="s">
        <v>9</v>
      </c>
      <c r="B8">
        <f>COUNTIF(Data!F:F,A8)</f>
        <v>0</v>
      </c>
    </row>
    <row r="9" spans="1:2" x14ac:dyDescent="0.4">
      <c r="A9" t="s">
        <v>19</v>
      </c>
      <c r="B9">
        <f>COUNTIF(Data!F:F,A9)</f>
        <v>0</v>
      </c>
    </row>
    <row r="10" spans="1:2" x14ac:dyDescent="0.4">
      <c r="A10" t="s">
        <v>87</v>
      </c>
      <c r="B10">
        <f>COUNTIF(Data!F:F,A10)</f>
        <v>0</v>
      </c>
    </row>
    <row r="11" spans="1:2" x14ac:dyDescent="0.4">
      <c r="A11" t="s">
        <v>88</v>
      </c>
      <c r="B11">
        <f>COUNTIF(Data!F:F,A11)</f>
        <v>0</v>
      </c>
    </row>
    <row r="12" spans="1:2" x14ac:dyDescent="0.4">
      <c r="A12" t="s">
        <v>89</v>
      </c>
      <c r="B12">
        <f>COUNTIF(Data!F:F,A12)</f>
        <v>0</v>
      </c>
    </row>
    <row r="13" spans="1:2" x14ac:dyDescent="0.4">
      <c r="A13" t="s">
        <v>90</v>
      </c>
      <c r="B13">
        <f>COUNTIF(Data!F:F,A13)</f>
        <v>0</v>
      </c>
    </row>
    <row r="14" spans="1:2" x14ac:dyDescent="0.4">
      <c r="A14" t="s">
        <v>91</v>
      </c>
      <c r="B14">
        <f>COUNTIF(Data!F:F,A14)</f>
        <v>0</v>
      </c>
    </row>
    <row r="15" spans="1:2" x14ac:dyDescent="0.4">
      <c r="A15" t="s">
        <v>92</v>
      </c>
      <c r="B15">
        <f>COUNTIF(Data!F:F,A15)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05E3-8004-431D-953D-2A518A613965}">
  <sheetPr codeName="Sheet5"/>
  <dimension ref="A1:J48"/>
  <sheetViews>
    <sheetView workbookViewId="0">
      <selection activeCell="A2" sqref="A2:D2"/>
    </sheetView>
  </sheetViews>
  <sheetFormatPr defaultRowHeight="13.9" x14ac:dyDescent="0.4"/>
  <cols>
    <col min="1" max="1" width="17.25" style="7" customWidth="1"/>
    <col min="2" max="5" width="14.25" customWidth="1"/>
    <col min="6" max="6" width="14.875" customWidth="1"/>
    <col min="7" max="7" width="10.625" customWidth="1"/>
    <col min="9" max="10" width="10" customWidth="1"/>
  </cols>
  <sheetData>
    <row r="1" spans="1:10" ht="13.5" customHeight="1" x14ac:dyDescent="0.4">
      <c r="A1" s="9" t="s">
        <v>7</v>
      </c>
      <c r="B1" s="2" t="s">
        <v>2</v>
      </c>
      <c r="C1" s="2" t="s">
        <v>93</v>
      </c>
      <c r="D1" s="2" t="s">
        <v>94</v>
      </c>
      <c r="E1" s="2"/>
      <c r="F1" s="2"/>
      <c r="G1" s="2"/>
      <c r="H1" s="2"/>
      <c r="I1" s="2"/>
      <c r="J1" s="2"/>
    </row>
    <row r="2" spans="1:10" x14ac:dyDescent="0.4">
      <c r="A2">
        <v>1</v>
      </c>
      <c r="B2" s="1">
        <v>44455</v>
      </c>
      <c r="C2" t="str">
        <f>TEXT(B2,"mmmm")</f>
        <v>September</v>
      </c>
      <c r="D2">
        <f>YEAR(B2)</f>
        <v>2021</v>
      </c>
      <c r="I2" s="2"/>
    </row>
    <row r="3" spans="1:10" x14ac:dyDescent="0.4">
      <c r="A3">
        <v>2</v>
      </c>
      <c r="B3" s="1">
        <v>43967</v>
      </c>
      <c r="C3" t="str">
        <f>TEXT(B3,"mmmm")</f>
        <v>May</v>
      </c>
      <c r="D3">
        <f>YEAR(B3)</f>
        <v>2020</v>
      </c>
    </row>
    <row r="4" spans="1:10" x14ac:dyDescent="0.4">
      <c r="A4">
        <v>3</v>
      </c>
      <c r="B4" s="1">
        <v>43512</v>
      </c>
      <c r="C4" t="str">
        <f>TEXT(B4,"mmmm")</f>
        <v>February</v>
      </c>
      <c r="D4">
        <f>YEAR(B4)</f>
        <v>2019</v>
      </c>
    </row>
    <row r="5" spans="1:10" x14ac:dyDescent="0.4">
      <c r="A5">
        <v>4</v>
      </c>
      <c r="B5" s="1">
        <v>43116</v>
      </c>
      <c r="C5" t="str">
        <f>TEXT(B5,"mmmm")</f>
        <v>January</v>
      </c>
      <c r="D5">
        <f>YEAR(B5)</f>
        <v>2018</v>
      </c>
    </row>
    <row r="6" spans="1:10" x14ac:dyDescent="0.4">
      <c r="A6" s="7">
        <v>1</v>
      </c>
      <c r="B6" s="1">
        <v>44458</v>
      </c>
      <c r="C6" t="str">
        <f>TEXT(B6,"mmmm")</f>
        <v>September</v>
      </c>
      <c r="D6">
        <f>YEAR(B6)</f>
        <v>2021</v>
      </c>
    </row>
    <row r="7" spans="1:10" x14ac:dyDescent="0.4">
      <c r="B7" s="1"/>
    </row>
    <row r="8" spans="1:10" ht="15" x14ac:dyDescent="0.4">
      <c r="B8" s="1"/>
      <c r="F8" s="8"/>
    </row>
    <row r="9" spans="1:10" ht="15" x14ac:dyDescent="0.4">
      <c r="B9" s="1"/>
      <c r="F9" s="8"/>
    </row>
    <row r="10" spans="1:10" ht="15" x14ac:dyDescent="0.4">
      <c r="B10" s="1"/>
      <c r="F10" s="8"/>
    </row>
    <row r="11" spans="1:10" ht="15" x14ac:dyDescent="0.4">
      <c r="B11" s="1"/>
      <c r="F11" s="8"/>
    </row>
    <row r="12" spans="1:10" ht="15" x14ac:dyDescent="0.4">
      <c r="B12" s="1"/>
      <c r="F12" s="8"/>
    </row>
    <row r="13" spans="1:10" ht="15" x14ac:dyDescent="0.4">
      <c r="B13" s="1"/>
      <c r="F13" s="8"/>
    </row>
    <row r="14" spans="1:10" ht="15" x14ac:dyDescent="0.4">
      <c r="B14" s="1"/>
      <c r="F14" s="6"/>
      <c r="G14" s="6"/>
    </row>
    <row r="15" spans="1:10" ht="16.5" customHeight="1" x14ac:dyDescent="0.4">
      <c r="B15" s="1"/>
      <c r="F15" s="6"/>
    </row>
    <row r="16" spans="1:10" ht="15" x14ac:dyDescent="0.4">
      <c r="B16" s="1"/>
      <c r="F16" s="6"/>
    </row>
    <row r="17" spans="2:6" ht="15" x14ac:dyDescent="0.4">
      <c r="B17" s="1"/>
      <c r="F17" s="6"/>
    </row>
    <row r="24" spans="2:6" ht="15" x14ac:dyDescent="0.4">
      <c r="F24" s="6"/>
    </row>
    <row r="25" spans="2:6" ht="15" x14ac:dyDescent="0.4">
      <c r="F25" s="6"/>
    </row>
    <row r="26" spans="2:6" ht="15" x14ac:dyDescent="0.4">
      <c r="F26" s="6"/>
    </row>
    <row r="27" spans="2:6" ht="15" x14ac:dyDescent="0.4">
      <c r="F27" s="6"/>
    </row>
    <row r="28" spans="2:6" ht="15" x14ac:dyDescent="0.4">
      <c r="F28" s="6"/>
    </row>
    <row r="48" spans="2:2" x14ac:dyDescent="0.4">
      <c r="B48" s="1"/>
    </row>
  </sheetData>
  <phoneticPr fontId="4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75567-3EE6-4AE5-A67E-8E424D63AFCA}">
  <sheetPr codeName="Sheet8"/>
  <dimension ref="A1:I13"/>
  <sheetViews>
    <sheetView workbookViewId="0">
      <selection activeCell="I2" sqref="I2"/>
    </sheetView>
  </sheetViews>
  <sheetFormatPr defaultRowHeight="13.9" x14ac:dyDescent="0.4"/>
  <sheetData>
    <row r="1" spans="1:9" x14ac:dyDescent="0.4">
      <c r="A1" s="2" t="s">
        <v>95</v>
      </c>
      <c r="B1" s="2" t="s">
        <v>107</v>
      </c>
      <c r="C1" s="2"/>
      <c r="D1" s="2" t="s">
        <v>94</v>
      </c>
      <c r="E1" s="2" t="s">
        <v>108</v>
      </c>
    </row>
    <row r="2" spans="1:9" x14ac:dyDescent="0.4">
      <c r="A2" t="s">
        <v>96</v>
      </c>
      <c r="B2">
        <f>COUNTIF('Calls by Month'!C:C, A2)</f>
        <v>1</v>
      </c>
      <c r="D2">
        <v>2015</v>
      </c>
      <c r="E2">
        <f>COUNTIF('Calls by Month'!D:D,D2)</f>
        <v>0</v>
      </c>
      <c r="H2" s="2" t="s">
        <v>109</v>
      </c>
      <c r="I2">
        <f>SUM(E:E)</f>
        <v>5</v>
      </c>
    </row>
    <row r="3" spans="1:9" x14ac:dyDescent="0.4">
      <c r="A3" t="s">
        <v>97</v>
      </c>
      <c r="B3">
        <f>COUNTIF('Calls by Month'!C:C, A3)</f>
        <v>1</v>
      </c>
      <c r="D3">
        <v>2016</v>
      </c>
      <c r="E3">
        <f>COUNTIF('Calls by Month'!D:D,D3)</f>
        <v>0</v>
      </c>
    </row>
    <row r="4" spans="1:9" x14ac:dyDescent="0.4">
      <c r="A4" t="s">
        <v>98</v>
      </c>
      <c r="B4">
        <f>COUNTIF('Calls by Month'!C:C, A4)</f>
        <v>0</v>
      </c>
      <c r="D4">
        <v>2017</v>
      </c>
      <c r="E4">
        <f>COUNTIF('Calls by Month'!D:D,D4)</f>
        <v>0</v>
      </c>
    </row>
    <row r="5" spans="1:9" x14ac:dyDescent="0.4">
      <c r="A5" t="s">
        <v>99</v>
      </c>
      <c r="B5">
        <f>COUNTIF('Calls by Month'!C:C, A5)</f>
        <v>0</v>
      </c>
      <c r="D5">
        <v>2018</v>
      </c>
      <c r="E5">
        <f>COUNTIF('Calls by Month'!D:D,D5)</f>
        <v>1</v>
      </c>
    </row>
    <row r="6" spans="1:9" x14ac:dyDescent="0.4">
      <c r="A6" t="s">
        <v>100</v>
      </c>
      <c r="B6">
        <f>COUNTIF('Calls by Month'!C:C, A6)</f>
        <v>1</v>
      </c>
      <c r="D6">
        <v>2019</v>
      </c>
      <c r="E6">
        <f>COUNTIF('Calls by Month'!D:D,D6)</f>
        <v>1</v>
      </c>
    </row>
    <row r="7" spans="1:9" x14ac:dyDescent="0.4">
      <c r="A7" t="s">
        <v>101</v>
      </c>
      <c r="B7">
        <f>COUNTIF('Calls by Month'!C:C, A7)</f>
        <v>0</v>
      </c>
      <c r="D7">
        <v>2020</v>
      </c>
      <c r="E7">
        <f>COUNTIF('Calls by Month'!D:D,D7)</f>
        <v>1</v>
      </c>
    </row>
    <row r="8" spans="1:9" ht="15" x14ac:dyDescent="0.4">
      <c r="A8" s="8" t="s">
        <v>110</v>
      </c>
      <c r="B8">
        <f>COUNTIF('Calls by Month'!C:C, A8)</f>
        <v>0</v>
      </c>
      <c r="D8">
        <v>2021</v>
      </c>
      <c r="E8">
        <f>COUNTIF('Calls by Month'!D:D,D8)</f>
        <v>2</v>
      </c>
    </row>
    <row r="9" spans="1:9" ht="15" x14ac:dyDescent="0.4">
      <c r="A9" s="8" t="s">
        <v>102</v>
      </c>
      <c r="B9">
        <f>COUNTIF('Calls by Month'!C:C, A9)</f>
        <v>0</v>
      </c>
      <c r="D9">
        <v>2022</v>
      </c>
      <c r="E9">
        <f>COUNTIF('Calls by Month'!D:D,D9)</f>
        <v>0</v>
      </c>
    </row>
    <row r="10" spans="1:9" ht="15" x14ac:dyDescent="0.4">
      <c r="A10" s="8" t="s">
        <v>103</v>
      </c>
      <c r="B10">
        <f>COUNTIF('Calls by Month'!C:C, A10)</f>
        <v>2</v>
      </c>
      <c r="D10">
        <v>2023</v>
      </c>
      <c r="E10">
        <f>COUNTIF('Calls by Month'!D:D,D10)</f>
        <v>0</v>
      </c>
    </row>
    <row r="11" spans="1:9" ht="15" x14ac:dyDescent="0.4">
      <c r="A11" s="8" t="s">
        <v>104</v>
      </c>
      <c r="B11">
        <f>COUNTIF('Calls by Month'!C:C, A11)</f>
        <v>0</v>
      </c>
      <c r="D11">
        <v>2024</v>
      </c>
      <c r="E11">
        <f>COUNTIF('Calls by Month'!D:D,D11)</f>
        <v>0</v>
      </c>
    </row>
    <row r="12" spans="1:9" ht="15" x14ac:dyDescent="0.4">
      <c r="A12" s="8" t="s">
        <v>105</v>
      </c>
      <c r="B12">
        <f>COUNTIF('Calls by Month'!C:C, A12)</f>
        <v>0</v>
      </c>
      <c r="D12">
        <v>2025</v>
      </c>
      <c r="E12">
        <f>COUNTIF('Calls by Month'!D:D,D12)</f>
        <v>0</v>
      </c>
    </row>
    <row r="13" spans="1:9" ht="15" x14ac:dyDescent="0.4">
      <c r="A13" s="8" t="s">
        <v>106</v>
      </c>
      <c r="B13">
        <f>COUNTIF('Calls by Month'!C:C, A13)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E410B-F76D-402C-B11C-99D03E273335}">
  <sheetPr codeName="Sheet3"/>
  <dimension ref="A1"/>
  <sheetViews>
    <sheetView tabSelected="1" zoomScale="60" zoomScaleNormal="60" workbookViewId="0">
      <selection activeCell="M15" sqref="M15"/>
    </sheetView>
  </sheetViews>
  <sheetFormatPr defaultRowHeight="13.9" x14ac:dyDescent="0.4"/>
  <cols>
    <col min="1" max="16384" width="9" style="16"/>
  </cols>
  <sheetData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autoPict="0" r:id="rId5">
            <anchor moveWithCells="1">
              <from>
                <xdr:col>12</xdr:col>
                <xdr:colOff>609600</xdr:colOff>
                <xdr:row>0</xdr:row>
                <xdr:rowOff>142875</xdr:rowOff>
              </from>
              <to>
                <xdr:col>14</xdr:col>
                <xdr:colOff>295275</xdr:colOff>
                <xdr:row>2</xdr:row>
                <xdr:rowOff>161925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Data</vt:lpstr>
      <vt:lpstr>Calls_by_County</vt:lpstr>
      <vt:lpstr>Calls_by_Service</vt:lpstr>
      <vt:lpstr>Calls by Month</vt:lpstr>
      <vt:lpstr>Formula calls by month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Castro, Sofia</dc:creator>
  <cp:lastModifiedBy>sindi</cp:lastModifiedBy>
  <dcterms:created xsi:type="dcterms:W3CDTF">2021-07-09T13:48:10Z</dcterms:created>
  <dcterms:modified xsi:type="dcterms:W3CDTF">2021-09-20T14:17:37Z</dcterms:modified>
</cp:coreProperties>
</file>